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xiao\backtester\working\"/>
    </mc:Choice>
  </mc:AlternateContent>
  <xr:revisionPtr revIDLastSave="0" documentId="13_ncr:1_{2A4A90C9-3907-4B2F-A8E8-3D2A43BA48A0}" xr6:coauthVersionLast="47" xr6:coauthVersionMax="47" xr10:uidLastSave="{00000000-0000-0000-0000-000000000000}"/>
  <bookViews>
    <workbookView xWindow="-120" yWindow="-120" windowWidth="29040" windowHeight="15720" activeTab="1" xr2:uid="{9D9BDD15-BF2C-4F4E-B07B-D6D24D3F99AD}"/>
  </bookViews>
  <sheets>
    <sheet name="Blocks" sheetId="2" r:id="rId1"/>
    <sheet name="examples" sheetId="3" r:id="rId2"/>
    <sheet name="draft"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5" i="1" l="1" a="1"/>
  <c r="AB65" i="1"/>
  <c r="AB64" i="1" a="1"/>
  <c r="AB64" i="1"/>
  <c r="AD64" i="1"/>
  <c r="AC64" i="1" l="1"/>
  <c r="AE64" i="1"/>
  <c r="AD65" i="1"/>
  <c r="AE65" i="1" s="1"/>
  <c r="AF24" i="1" l="1"/>
  <c r="AG24" i="1"/>
  <c r="AH24" i="1"/>
  <c r="AI24" i="1"/>
  <c r="AF23" i="1"/>
  <c r="AG23" i="1"/>
  <c r="AH23" i="1"/>
  <c r="AI23" i="1"/>
  <c r="AI27" i="1"/>
  <c r="AI26" i="1"/>
  <c r="AI22" i="1"/>
  <c r="AI21" i="1"/>
  <c r="AI20" i="1"/>
  <c r="AI19" i="1"/>
  <c r="AI18" i="1"/>
  <c r="AI17" i="1"/>
  <c r="AI16" i="1"/>
  <c r="AI15" i="1"/>
  <c r="AI14" i="1"/>
  <c r="AI13" i="1"/>
  <c r="AH26" i="1"/>
  <c r="AK22" i="1"/>
  <c r="AK20" i="1"/>
  <c r="AK18" i="1"/>
  <c r="AD20" i="1"/>
  <c r="AC20" i="1"/>
  <c r="AG27" i="1"/>
  <c r="AG26" i="1"/>
  <c r="AC24" i="1"/>
  <c r="AD22" i="1"/>
  <c r="AC17" i="1"/>
  <c r="AB15" i="1"/>
  <c r="AB19" i="1"/>
  <c r="AH22" i="1"/>
  <c r="AH21" i="1"/>
  <c r="AH20" i="1"/>
  <c r="AH19" i="1"/>
  <c r="AH18" i="1"/>
  <c r="AH17" i="1"/>
  <c r="AH16" i="1"/>
  <c r="AH15" i="1"/>
  <c r="AH14" i="1"/>
  <c r="AH13" i="1"/>
  <c r="AG22" i="1"/>
  <c r="AG21" i="1"/>
  <c r="AG20" i="1"/>
  <c r="AG19" i="1"/>
  <c r="AG18" i="1"/>
  <c r="AG17" i="1"/>
  <c r="AG16" i="1"/>
  <c r="AG15" i="1"/>
  <c r="AG14" i="1"/>
  <c r="AG13" i="1"/>
  <c r="AF22" i="1"/>
  <c r="AF21" i="1"/>
  <c r="AF20" i="1"/>
  <c r="AF19" i="1"/>
  <c r="AF18" i="1"/>
  <c r="AF17" i="1"/>
  <c r="AF16" i="1"/>
  <c r="AF15" i="1"/>
  <c r="AF14" i="1"/>
  <c r="AF13" i="1"/>
  <c r="AB23" i="1"/>
  <c r="AB22" i="1"/>
  <c r="AB12" i="1"/>
  <c r="AB11" i="1"/>
  <c r="AB17" i="1"/>
  <c r="AC65" i="1" l="1"/>
  <c r="AC66" i="1" l="1"/>
  <c r="AC68" i="1" s="1"/>
  <c r="AE6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<sst xmlns="http://schemas.openxmlformats.org/spreadsheetml/2006/main" count="458" uniqueCount="140">
  <si>
    <t>WaterFall</t>
  </si>
  <si>
    <t>Credit Strategies</t>
  </si>
  <si>
    <t>Debit Strategies</t>
  </si>
  <si>
    <t>Equity/Bond</t>
  </si>
  <si>
    <t>CC</t>
  </si>
  <si>
    <t>noEq</t>
  </si>
  <si>
    <t>3a</t>
  </si>
  <si>
    <t>3b</t>
  </si>
  <si>
    <t>If Option Component, then</t>
  </si>
  <si>
    <t>else</t>
  </si>
  <si>
    <t>Spend remainder</t>
  </si>
  <si>
    <t>Option is Credit</t>
  </si>
  <si>
    <t>Option is Debit</t>
  </si>
  <si>
    <t>Y</t>
  </si>
  <si>
    <t>N</t>
  </si>
  <si>
    <t>1x2 PS</t>
  </si>
  <si>
    <t>Opt1</t>
  </si>
  <si>
    <t>Stock</t>
  </si>
  <si>
    <t>3M</t>
  </si>
  <si>
    <t>Credit Options + Asset Base</t>
  </si>
  <si>
    <t>Allocation</t>
  </si>
  <si>
    <t>Asset Class</t>
  </si>
  <si>
    <t>Direction</t>
  </si>
  <si>
    <t>Port Wgt</t>
  </si>
  <si>
    <t>Ratio</t>
  </si>
  <si>
    <t>Opt Stgy</t>
  </si>
  <si>
    <t>SubStgy</t>
  </si>
  <si>
    <t>Eq</t>
  </si>
  <si>
    <t>Opt</t>
  </si>
  <si>
    <t>Mnyess</t>
  </si>
  <si>
    <t>DTM</t>
  </si>
  <si>
    <t>PS Collar</t>
  </si>
  <si>
    <t>Opt Type</t>
  </si>
  <si>
    <t>C</t>
  </si>
  <si>
    <t>P</t>
  </si>
  <si>
    <t>Notionals</t>
  </si>
  <si>
    <t>Put Write</t>
  </si>
  <si>
    <t>Bond</t>
  </si>
  <si>
    <t>Default</t>
  </si>
  <si>
    <t>Sell Put = Write Bond</t>
  </si>
  <si>
    <t>Up to User to offset short options with collateral within the input file</t>
  </si>
  <si>
    <t>Spot</t>
  </si>
  <si>
    <t>Call Notional S</t>
  </si>
  <si>
    <t>Call Notional K</t>
  </si>
  <si>
    <t>Put Notional K</t>
  </si>
  <si>
    <t>200 Shares</t>
  </si>
  <si>
    <t>Put Notional S</t>
  </si>
  <si>
    <t>At Maturity</t>
  </si>
  <si>
    <t>Put Payoff</t>
  </si>
  <si>
    <t>Call Payoff</t>
  </si>
  <si>
    <t>Call K</t>
  </si>
  <si>
    <t>Put K</t>
  </si>
  <si>
    <t>???Rebal using "Stock Price Notionals" across the board for allocation purposes???</t>
  </si>
  <si>
    <t>Put Payoff 2</t>
  </si>
  <si>
    <t>Stock Notional = Matches Stock = 1:1 sizing implies hedged at 85% given strike</t>
  </si>
  <si>
    <t>Collateral required based on Strike Notional</t>
  </si>
  <si>
    <t>IC</t>
  </si>
  <si>
    <t>Sum of SubStgy = 100%</t>
  </si>
  <si>
    <t>Synth</t>
  </si>
  <si>
    <t>Use case in comparing Aps vol surface vs Stella prices</t>
  </si>
  <si>
    <t>Strangle</t>
  </si>
  <si>
    <t>*</t>
  </si>
  <si>
    <t>Notional Weights</t>
  </si>
  <si>
    <t>Collateral</t>
  </si>
  <si>
    <t>Debit = MV Cash Outflow</t>
  </si>
  <si>
    <t>Credit = Posted Collateral based on risk</t>
  </si>
  <si>
    <t>Does Risk Collateral need to be defined in the input?</t>
  </si>
  <si>
    <t>port1</t>
  </si>
  <si>
    <t>Residual</t>
  </si>
  <si>
    <t>PS</t>
  </si>
  <si>
    <t>Single</t>
  </si>
  <si>
    <t>QQQ US 04/17/26 C600</t>
  </si>
  <si>
    <t>px_last</t>
  </si>
  <si>
    <t>MV</t>
  </si>
  <si>
    <t>Notional</t>
  </si>
  <si>
    <t>QQQ US 04/17/26 P600</t>
  </si>
  <si>
    <t>Covered Call</t>
  </si>
  <si>
    <t>Call</t>
  </si>
  <si>
    <t>Long</t>
  </si>
  <si>
    <t>Short</t>
  </si>
  <si>
    <t>AKA</t>
  </si>
  <si>
    <t>Synthetic</t>
  </si>
  <si>
    <t>ID</t>
  </si>
  <si>
    <t>POS</t>
  </si>
  <si>
    <t>TYPE</t>
  </si>
  <si>
    <t>Spread</t>
  </si>
  <si>
    <t>Put</t>
  </si>
  <si>
    <t>Bull Call Spread</t>
  </si>
  <si>
    <t>Bull Put Spread</t>
  </si>
  <si>
    <t>Bear Call Spread</t>
  </si>
  <si>
    <t>Bear Put Spread</t>
  </si>
  <si>
    <t>Equity</t>
  </si>
  <si>
    <t>None</t>
  </si>
  <si>
    <t>Holding shares</t>
  </si>
  <si>
    <t>Long Call</t>
  </si>
  <si>
    <t>Holding a Call, the right to buy 100 shares of underlying at strike price on expiry date close</t>
  </si>
  <si>
    <t>Long Equity</t>
  </si>
  <si>
    <t>Long Put</t>
  </si>
  <si>
    <t>Holding a Put, the right to sell 100 shares of underlying at strike price on expiry date close</t>
  </si>
  <si>
    <t>Writing a Call, take on the obligation to sell 100 shares of underlying at strike price on expiry date close</t>
  </si>
  <si>
    <t>Write Call (Unsecured)</t>
  </si>
  <si>
    <t>Holding underlying shares, and writing calls on the held shares. Write 1 Call per 100 shares to cover for the possibility of the obligation to sell 100 shares at expiry date close</t>
  </si>
  <si>
    <t>Writing a Put, take on the obligation to buy 100 shares of underlying strike price at expiry date close</t>
  </si>
  <si>
    <t>DES</t>
  </si>
  <si>
    <t>COLLATERAL</t>
  </si>
  <si>
    <t>CTYPE</t>
  </si>
  <si>
    <t>Replicate Long Equity</t>
  </si>
  <si>
    <t>Replicate the position of holding underlying equity by holding a call and writing a put at the same strike and expiry.</t>
  </si>
  <si>
    <t>Long Strangle</t>
  </si>
  <si>
    <t>Short Strangle</t>
  </si>
  <si>
    <t>Hold both a call and a put on underlying with the same expiry date and different OTM strikes. Capitalizes on significant volatility and price movements in either direction</t>
  </si>
  <si>
    <t>Write both a call and a put on underlying with the same expiry date and different OTM strikes. Capitalizes on little volatility and price movements in either direction</t>
  </si>
  <si>
    <t>Hold a call and write one for the same expiry date, at different strike prices. The Bear Call Spread has short call with the lower strike price and profits off of a flat or moderate decline in underlying price.</t>
  </si>
  <si>
    <t>Hold a put and write one for the same expiry date at different strike prices. The Bull Put Spread has short put with the higher strike price and profits from a flat or moderate increase in underlying price.</t>
  </si>
  <si>
    <t>Hold a call and write one for the same expiry date, at different strike prices. The Bull Call Spread has short call with the higher strike price and profits from an increase in the underlying price.</t>
  </si>
  <si>
    <t>Hold a put and write one for the same expiry date at different strike prices. The Bear Put Spread has short put with the lower strike price and profits from a slow decline in underlying price.</t>
  </si>
  <si>
    <t>Money Market Cash</t>
  </si>
  <si>
    <t>Holding Cash that accrues interest. Can be collateral cash, or remaining cash after allocation.</t>
  </si>
  <si>
    <t>Debit</t>
  </si>
  <si>
    <t>Credit</t>
  </si>
  <si>
    <t>Cash = Call Qty * 100 shares * Strike</t>
  </si>
  <si>
    <t>Cash = Put Qty * 100 shares * Strike</t>
  </si>
  <si>
    <t>Put Write (Cash-Secured)</t>
  </si>
  <si>
    <t>Cash = Qty * 100 shares * (Higher Strike - Lower Strike)</t>
  </si>
  <si>
    <t>Cash = Qty * 100 shares * Strike</t>
  </si>
  <si>
    <t>Covered by Long Equity</t>
  </si>
  <si>
    <t>Long Iron Condor</t>
  </si>
  <si>
    <t>Short Iron Condor</t>
  </si>
  <si>
    <t>Cash = Qty * 100 shares * Higher Strike</t>
  </si>
  <si>
    <t>Consists of 2 spreads, a Bear Call Spread and a Bull Put Spread. Profits from low volatility.</t>
  </si>
  <si>
    <t>Consists of 2 spreads, a Bull Call Spread and a Bear Put Spread. Profits from higher volatility.</t>
  </si>
  <si>
    <t>Cash =  Qty * 100 shares* Max[Puts Strike Difference, Calls Strike Difference]</t>
  </si>
  <si>
    <t>Option</t>
  </si>
  <si>
    <t>STRATEGY ID</t>
  </si>
  <si>
    <t>SUB STRATEGY</t>
  </si>
  <si>
    <t>ASSET</t>
  </si>
  <si>
    <t>DIRECTION</t>
  </si>
  <si>
    <t>WEIGHT</t>
  </si>
  <si>
    <t>OPTION TYPE</t>
  </si>
  <si>
    <t>MONEYNESS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</si>
</sst>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trike/>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7">
    <xf numFmtId="0" fontId="0" fillId="0" borderId="0" xfId="0"/>
    <xf numFmtId="164" fontId="0" fillId="0" borderId="0" xfId="1" applyNumberFormat="1" applyFont="1"/>
    <xf numFmtId="0" fontId="0" fillId="0" borderId="0" xfId="0" applyAlignment="1">
      <alignment horizontal="center"/>
    </xf>
    <xf numFmtId="0" fontId="2" fillId="0" borderId="0" xfId="0" applyFont="1"/>
    <xf numFmtId="0" fontId="2" fillId="2" borderId="0" xfId="0" applyFont="1" applyFill="1"/>
    <xf numFmtId="3" fontId="0" fillId="0" borderId="0" xfId="0" applyNumberFormat="1" applyAlignment="1">
      <alignment horizontal="center"/>
    </xf>
    <xf numFmtId="3" fontId="2" fillId="0" borderId="0" xfId="0" applyNumberFormat="1" applyFont="1" applyAlignment="1">
      <alignment horizontal="center"/>
    </xf>
    <xf numFmtId="1" fontId="0" fillId="0" borderId="0" xfId="0" applyNumberFormat="1"/>
    <xf numFmtId="10" fontId="0" fillId="0" borderId="0" xfId="2" applyNumberFormat="1" applyFont="1" applyAlignment="1">
      <alignment horizontal="center"/>
    </xf>
    <xf numFmtId="0" fontId="2" fillId="0" borderId="0" xfId="0" applyFont="1" applyAlignment="1">
      <alignment horizontal="left"/>
    </xf>
    <xf numFmtId="0" fontId="2" fillId="0" borderId="1" xfId="0" applyFont="1" applyBorder="1"/>
    <xf numFmtId="0" fontId="2" fillId="0" borderId="2" xfId="0" applyFont="1" applyBorder="1"/>
    <xf numFmtId="0" fontId="2" fillId="0" borderId="3" xfId="0" applyFont="1" applyBorder="1"/>
    <xf numFmtId="0" fontId="0" fillId="0" borderId="4" xfId="0" applyBorder="1"/>
    <xf numFmtId="0" fontId="0" fillId="0" borderId="5" xfId="0" applyBorder="1"/>
    <xf numFmtId="9" fontId="0" fillId="0" borderId="5" xfId="2" applyFont="1" applyBorder="1"/>
    <xf numFmtId="0" fontId="0" fillId="0" borderId="6" xfId="0" applyBorder="1"/>
    <xf numFmtId="9" fontId="0" fillId="0" borderId="0" xfId="2" applyFont="1" applyBorder="1"/>
    <xf numFmtId="0" fontId="0" fillId="3" borderId="6" xfId="0" applyFill="1" applyBorder="1"/>
    <xf numFmtId="0" fontId="0" fillId="3" borderId="0" xfId="0" applyFill="1"/>
    <xf numFmtId="9" fontId="0" fillId="3" borderId="0" xfId="2" applyFont="1" applyFill="1" applyBorder="1"/>
    <xf numFmtId="0" fontId="0" fillId="0" borderId="7" xfId="0" applyBorder="1"/>
    <xf numFmtId="165" fontId="0" fillId="0" borderId="8" xfId="2" applyNumberFormat="1" applyFont="1" applyBorder="1"/>
    <xf numFmtId="0" fontId="0" fillId="3" borderId="8" xfId="0" applyFill="1" applyBorder="1"/>
    <xf numFmtId="0" fontId="0" fillId="0" borderId="8" xfId="0" applyBorder="1"/>
    <xf numFmtId="0" fontId="0" fillId="0" borderId="0" xfId="0" applyAlignment="1">
      <alignment horizontal="right"/>
    </xf>
    <xf numFmtId="0" fontId="2" fillId="0" borderId="2" xfId="0" applyFont="1" applyBorder="1" applyAlignment="1">
      <alignment horizontal="center"/>
    </xf>
    <xf numFmtId="9" fontId="0" fillId="0" borderId="5" xfId="2" applyFont="1" applyBorder="1" applyAlignment="1">
      <alignment horizontal="center"/>
    </xf>
    <xf numFmtId="9" fontId="0" fillId="0" borderId="0" xfId="2" applyFont="1" applyBorder="1" applyAlignment="1">
      <alignment horizontal="center"/>
    </xf>
    <xf numFmtId="0" fontId="0" fillId="3" borderId="0" xfId="0" applyFill="1" applyAlignment="1">
      <alignment horizontal="center"/>
    </xf>
    <xf numFmtId="9" fontId="0" fillId="3" borderId="0" xfId="2" applyFont="1" applyFill="1" applyBorder="1" applyAlignment="1">
      <alignment horizontal="center"/>
    </xf>
    <xf numFmtId="9" fontId="0" fillId="0" borderId="0" xfId="2" applyFont="1" applyFill="1" applyBorder="1" applyAlignment="1">
      <alignment horizontal="center"/>
    </xf>
    <xf numFmtId="9" fontId="0" fillId="0" borderId="0" xfId="2" applyFont="1" applyFill="1" applyBorder="1"/>
    <xf numFmtId="0" fontId="3" fillId="0" borderId="6" xfId="0" applyFont="1" applyBorder="1"/>
    <xf numFmtId="0" fontId="3" fillId="0" borderId="0" xfId="0" applyFont="1"/>
    <xf numFmtId="9" fontId="3" fillId="0" borderId="0" xfId="2" applyFont="1" applyBorder="1" applyAlignment="1">
      <alignment horizontal="center"/>
    </xf>
    <xf numFmtId="9" fontId="3" fillId="0" borderId="0" xfId="2" applyFont="1" applyBorder="1"/>
    <xf numFmtId="165" fontId="3" fillId="0" borderId="8" xfId="2" applyNumberFormat="1" applyFont="1" applyBorder="1"/>
    <xf numFmtId="0" fontId="3" fillId="0" borderId="8" xfId="0" applyFont="1" applyBorder="1"/>
    <xf numFmtId="4" fontId="0" fillId="0" borderId="0" xfId="0" applyNumberFormat="1" applyAlignment="1">
      <alignment horizontal="center"/>
    </xf>
    <xf numFmtId="0" fontId="0" fillId="0" borderId="0" xfId="0" applyAlignment="1">
      <alignment horizontal="left" vertical="center"/>
    </xf>
    <xf numFmtId="0" fontId="0" fillId="0" borderId="0" xfId="0" applyAlignment="1">
      <alignment horizontal="left" vertical="top"/>
    </xf>
    <xf numFmtId="0" fontId="0" fillId="0" borderId="9" xfId="0" applyBorder="1"/>
    <xf numFmtId="9" fontId="0" fillId="0" borderId="0" xfId="0" applyNumberFormat="1"/>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1" xfId="0" applyBorder="1"/>
    <xf numFmtId="0" fontId="0" fillId="0" borderId="2" xfId="0" applyBorder="1"/>
    <xf numFmtId="0" fontId="0" fillId="0" borderId="3" xfId="0" applyBorder="1"/>
    <xf numFmtId="0" fontId="0" fillId="0" borderId="0" xfId="0" applyBorder="1"/>
    <xf numFmtId="9" fontId="0" fillId="0" borderId="0" xfId="0" applyNumberFormat="1" applyBorder="1"/>
    <xf numFmtId="0" fontId="0" fillId="0" borderId="10" xfId="0" applyBorder="1"/>
    <xf numFmtId="9" fontId="0" fillId="0" borderId="9" xfId="0" applyNumberFormat="1" applyBorder="1"/>
    <xf numFmtId="9" fontId="0" fillId="0" borderId="11" xfId="0" applyNumberFormat="1" applyBorder="1"/>
    <xf numFmtId="9" fontId="0" fillId="0" borderId="8" xfId="0" applyNumberFormat="1" applyBorder="1"/>
    <xf numFmtId="0" fontId="0" fillId="0" borderId="11" xfId="0"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Data...2904367708</v>
        <stp/>
        <stp>BDP|11328879572659460028</stp>
        <tr r="AB64" s="1"/>
      </tp>
    </main>
    <main first="bofaddin.rtdserver">
      <tp t="s">
        <v>#N/A Requesting Data...3270270452</v>
        <stp/>
        <stp>BDP|49338420664351412</stp>
        <tr r="AB65" s="1"/>
      </tp>
    </main>
  </volType>
</volTypes>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volatileDependencies" Target="volatileDependenci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BF16-7A60-4ECB-8DE1-839903747038}">
  <dimension ref="A1:G31"/>
  <sheetViews>
    <sheetView zoomScale="120" zoomScaleNormal="120" workbookViewId="0">
      <selection sqref="A1:G31"/>
    </sheetView>
  </sheetViews>
  <sheetFormatPr defaultRowHeight="15" x14ac:dyDescent="0.25"/>
  <cols>
    <col min="2" max="3" width="7.140625" customWidth="1"/>
    <col min="4" max="4" width="23.28515625" bestFit="1" customWidth="1"/>
    <col min="5" max="5" width="87" customWidth="1"/>
    <col min="6" max="6" width="57.42578125" customWidth="1"/>
    <col min="7" max="7" width="10.140625" customWidth="1"/>
  </cols>
  <sheetData>
    <row r="1" spans="1:7" x14ac:dyDescent="0.25">
      <c r="A1" s="42" t="s">
        <v>82</v>
      </c>
      <c r="B1" s="42" t="s">
        <v>83</v>
      </c>
      <c r="C1" s="42" t="s">
        <v>84</v>
      </c>
      <c r="D1" s="42" t="s">
        <v>80</v>
      </c>
      <c r="E1" s="42" t="s">
        <v>103</v>
      </c>
      <c r="F1" s="42" t="s">
        <v>104</v>
      </c>
      <c r="G1" s="42" t="s">
        <v>105</v>
      </c>
    </row>
    <row r="2" spans="1:7" x14ac:dyDescent="0.25">
      <c r="A2" t="s">
        <v>91</v>
      </c>
      <c r="B2" t="s">
        <v>78</v>
      </c>
      <c r="C2" t="s">
        <v>91</v>
      </c>
      <c r="D2" t="s">
        <v>96</v>
      </c>
      <c r="E2" s="41" t="s">
        <v>93</v>
      </c>
      <c r="F2" t="s">
        <v>92</v>
      </c>
      <c r="G2" t="s">
        <v>118</v>
      </c>
    </row>
    <row r="3" spans="1:7" x14ac:dyDescent="0.25">
      <c r="A3" t="s">
        <v>68</v>
      </c>
      <c r="B3" t="s">
        <v>78</v>
      </c>
      <c r="C3" t="s">
        <v>37</v>
      </c>
      <c r="D3" t="s">
        <v>116</v>
      </c>
      <c r="E3" s="41" t="s">
        <v>117</v>
      </c>
      <c r="F3" t="s">
        <v>92</v>
      </c>
      <c r="G3" t="s">
        <v>118</v>
      </c>
    </row>
    <row r="4" spans="1:7" x14ac:dyDescent="0.25">
      <c r="A4" t="s">
        <v>70</v>
      </c>
      <c r="B4" t="s">
        <v>78</v>
      </c>
      <c r="C4" t="s">
        <v>77</v>
      </c>
      <c r="D4" t="s">
        <v>94</v>
      </c>
      <c r="E4" s="41" t="s">
        <v>95</v>
      </c>
      <c r="F4" t="s">
        <v>92</v>
      </c>
      <c r="G4" t="s">
        <v>118</v>
      </c>
    </row>
    <row r="5" spans="1:7" x14ac:dyDescent="0.25">
      <c r="A5" t="s">
        <v>70</v>
      </c>
      <c r="B5" t="s">
        <v>79</v>
      </c>
      <c r="C5" t="s">
        <v>77</v>
      </c>
      <c r="D5" t="s">
        <v>100</v>
      </c>
      <c r="E5" s="41" t="s">
        <v>99</v>
      </c>
      <c r="F5" t="s">
        <v>120</v>
      </c>
      <c r="G5" t="s">
        <v>119</v>
      </c>
    </row>
    <row r="6" spans="1:7" x14ac:dyDescent="0.25">
      <c r="A6" t="s">
        <v>70</v>
      </c>
      <c r="B6" t="s">
        <v>78</v>
      </c>
      <c r="C6" t="s">
        <v>86</v>
      </c>
      <c r="D6" t="s">
        <v>97</v>
      </c>
      <c r="E6" s="41" t="s">
        <v>98</v>
      </c>
      <c r="F6" t="s">
        <v>92</v>
      </c>
      <c r="G6" t="s">
        <v>118</v>
      </c>
    </row>
    <row r="7" spans="1:7" x14ac:dyDescent="0.25">
      <c r="A7" t="s">
        <v>70</v>
      </c>
      <c r="B7" t="s">
        <v>79</v>
      </c>
      <c r="C7" t="s">
        <v>86</v>
      </c>
      <c r="D7" t="s">
        <v>122</v>
      </c>
      <c r="E7" s="41" t="s">
        <v>102</v>
      </c>
      <c r="F7" t="s">
        <v>121</v>
      </c>
      <c r="G7" t="s">
        <v>119</v>
      </c>
    </row>
    <row r="8" spans="1:7" x14ac:dyDescent="0.25">
      <c r="A8" s="44" t="s">
        <v>4</v>
      </c>
      <c r="B8" t="s">
        <v>78</v>
      </c>
      <c r="C8" t="s">
        <v>91</v>
      </c>
      <c r="D8" s="44" t="s">
        <v>76</v>
      </c>
      <c r="E8" s="45" t="s">
        <v>101</v>
      </c>
      <c r="F8" s="44" t="s">
        <v>125</v>
      </c>
      <c r="G8" s="44" t="s">
        <v>118</v>
      </c>
    </row>
    <row r="9" spans="1:7" x14ac:dyDescent="0.25">
      <c r="A9" s="44"/>
      <c r="B9" t="s">
        <v>79</v>
      </c>
      <c r="C9" t="s">
        <v>77</v>
      </c>
      <c r="D9" s="44"/>
      <c r="E9" s="45"/>
      <c r="F9" s="44"/>
      <c r="G9" s="44"/>
    </row>
    <row r="10" spans="1:7" x14ac:dyDescent="0.25">
      <c r="A10" s="44" t="s">
        <v>81</v>
      </c>
      <c r="B10" t="s">
        <v>78</v>
      </c>
      <c r="C10" t="s">
        <v>77</v>
      </c>
      <c r="D10" s="44" t="s">
        <v>106</v>
      </c>
      <c r="E10" s="45" t="s">
        <v>107</v>
      </c>
      <c r="F10" s="44" t="s">
        <v>124</v>
      </c>
      <c r="G10" s="44" t="s">
        <v>119</v>
      </c>
    </row>
    <row r="11" spans="1:7" x14ac:dyDescent="0.25">
      <c r="A11" s="44"/>
      <c r="B11" t="s">
        <v>79</v>
      </c>
      <c r="C11" t="s">
        <v>86</v>
      </c>
      <c r="D11" s="44"/>
      <c r="E11" s="45"/>
      <c r="F11" s="44"/>
      <c r="G11" s="44"/>
    </row>
    <row r="12" spans="1:7" x14ac:dyDescent="0.25">
      <c r="A12" s="44" t="s">
        <v>60</v>
      </c>
      <c r="B12" t="s">
        <v>78</v>
      </c>
      <c r="C12" t="s">
        <v>77</v>
      </c>
      <c r="D12" s="44" t="s">
        <v>108</v>
      </c>
      <c r="E12" s="45" t="s">
        <v>110</v>
      </c>
      <c r="F12" s="44" t="s">
        <v>128</v>
      </c>
      <c r="G12" s="44" t="s">
        <v>119</v>
      </c>
    </row>
    <row r="13" spans="1:7" x14ac:dyDescent="0.25">
      <c r="A13" s="44"/>
      <c r="B13" t="s">
        <v>78</v>
      </c>
      <c r="C13" t="s">
        <v>86</v>
      </c>
      <c r="D13" s="44"/>
      <c r="E13" s="45"/>
      <c r="F13" s="44"/>
      <c r="G13" s="44"/>
    </row>
    <row r="14" spans="1:7" x14ac:dyDescent="0.25">
      <c r="A14" s="44" t="s">
        <v>60</v>
      </c>
      <c r="B14" t="s">
        <v>79</v>
      </c>
      <c r="C14" t="s">
        <v>77</v>
      </c>
      <c r="D14" s="44" t="s">
        <v>109</v>
      </c>
      <c r="E14" s="45" t="s">
        <v>111</v>
      </c>
      <c r="F14" s="44" t="s">
        <v>128</v>
      </c>
      <c r="G14" s="44" t="s">
        <v>119</v>
      </c>
    </row>
    <row r="15" spans="1:7" x14ac:dyDescent="0.25">
      <c r="A15" s="44"/>
      <c r="B15" t="s">
        <v>79</v>
      </c>
      <c r="C15" t="s">
        <v>86</v>
      </c>
      <c r="D15" s="44"/>
      <c r="E15" s="45"/>
      <c r="F15" s="44"/>
      <c r="G15" s="44"/>
    </row>
    <row r="16" spans="1:7" ht="15" customHeight="1" x14ac:dyDescent="0.25">
      <c r="A16" s="40" t="s">
        <v>56</v>
      </c>
      <c r="B16" t="s">
        <v>78</v>
      </c>
      <c r="C16" t="s">
        <v>77</v>
      </c>
      <c r="D16" s="44" t="s">
        <v>126</v>
      </c>
      <c r="E16" s="45" t="s">
        <v>130</v>
      </c>
      <c r="F16" s="46" t="s">
        <v>131</v>
      </c>
      <c r="G16" s="46" t="s">
        <v>119</v>
      </c>
    </row>
    <row r="17" spans="1:7" x14ac:dyDescent="0.25">
      <c r="A17" s="40" t="s">
        <v>56</v>
      </c>
      <c r="B17" t="s">
        <v>79</v>
      </c>
      <c r="C17" t="s">
        <v>77</v>
      </c>
      <c r="D17" s="44"/>
      <c r="E17" s="45"/>
      <c r="F17" s="46"/>
      <c r="G17" s="46"/>
    </row>
    <row r="18" spans="1:7" x14ac:dyDescent="0.25">
      <c r="A18" t="s">
        <v>56</v>
      </c>
      <c r="B18" t="s">
        <v>78</v>
      </c>
      <c r="C18" t="s">
        <v>86</v>
      </c>
      <c r="D18" s="44"/>
      <c r="E18" s="45"/>
      <c r="F18" s="46"/>
      <c r="G18" s="46"/>
    </row>
    <row r="19" spans="1:7" x14ac:dyDescent="0.25">
      <c r="A19" t="s">
        <v>56</v>
      </c>
      <c r="B19" t="s">
        <v>79</v>
      </c>
      <c r="C19" t="s">
        <v>86</v>
      </c>
      <c r="D19" s="44"/>
      <c r="E19" s="45"/>
      <c r="F19" s="46"/>
      <c r="G19" s="46"/>
    </row>
    <row r="20" spans="1:7" x14ac:dyDescent="0.25">
      <c r="A20" s="40" t="s">
        <v>56</v>
      </c>
      <c r="B20" t="s">
        <v>78</v>
      </c>
      <c r="C20" t="s">
        <v>77</v>
      </c>
      <c r="D20" s="44" t="s">
        <v>127</v>
      </c>
      <c r="E20" s="45" t="s">
        <v>129</v>
      </c>
      <c r="F20" s="46" t="s">
        <v>131</v>
      </c>
      <c r="G20" s="46" t="s">
        <v>119</v>
      </c>
    </row>
    <row r="21" spans="1:7" x14ac:dyDescent="0.25">
      <c r="A21" s="40" t="s">
        <v>56</v>
      </c>
      <c r="B21" t="s">
        <v>79</v>
      </c>
      <c r="C21" t="s">
        <v>77</v>
      </c>
      <c r="D21" s="44"/>
      <c r="E21" s="45"/>
      <c r="F21" s="46"/>
      <c r="G21" s="46"/>
    </row>
    <row r="22" spans="1:7" x14ac:dyDescent="0.25">
      <c r="A22" t="s">
        <v>56</v>
      </c>
      <c r="B22" t="s">
        <v>78</v>
      </c>
      <c r="C22" t="s">
        <v>86</v>
      </c>
      <c r="D22" s="44"/>
      <c r="E22" s="45"/>
      <c r="F22" s="46"/>
      <c r="G22" s="46"/>
    </row>
    <row r="23" spans="1:7" x14ac:dyDescent="0.25">
      <c r="A23" t="s">
        <v>56</v>
      </c>
      <c r="B23" t="s">
        <v>79</v>
      </c>
      <c r="C23" t="s">
        <v>86</v>
      </c>
      <c r="D23" s="44"/>
      <c r="E23" s="45"/>
      <c r="F23" s="46"/>
      <c r="G23" s="46"/>
    </row>
    <row r="24" spans="1:7" x14ac:dyDescent="0.25">
      <c r="A24" t="s">
        <v>85</v>
      </c>
      <c r="B24" t="s">
        <v>78</v>
      </c>
      <c r="C24" t="s">
        <v>77</v>
      </c>
      <c r="D24" s="44" t="s">
        <v>87</v>
      </c>
      <c r="E24" s="45" t="s">
        <v>114</v>
      </c>
      <c r="F24" s="44" t="s">
        <v>123</v>
      </c>
      <c r="G24" s="44" t="s">
        <v>119</v>
      </c>
    </row>
    <row r="25" spans="1:7" x14ac:dyDescent="0.25">
      <c r="A25" t="s">
        <v>85</v>
      </c>
      <c r="B25" t="s">
        <v>79</v>
      </c>
      <c r="C25" t="s">
        <v>77</v>
      </c>
      <c r="D25" s="44"/>
      <c r="E25" s="45"/>
      <c r="F25" s="44"/>
      <c r="G25" s="44"/>
    </row>
    <row r="26" spans="1:7" x14ac:dyDescent="0.25">
      <c r="A26" t="s">
        <v>85</v>
      </c>
      <c r="B26" t="s">
        <v>78</v>
      </c>
      <c r="C26" t="s">
        <v>77</v>
      </c>
      <c r="D26" s="44" t="s">
        <v>89</v>
      </c>
      <c r="E26" s="45" t="s">
        <v>112</v>
      </c>
      <c r="F26" s="44" t="s">
        <v>123</v>
      </c>
      <c r="G26" s="44" t="s">
        <v>119</v>
      </c>
    </row>
    <row r="27" spans="1:7" x14ac:dyDescent="0.25">
      <c r="A27" t="s">
        <v>85</v>
      </c>
      <c r="B27" t="s">
        <v>79</v>
      </c>
      <c r="C27" t="s">
        <v>77</v>
      </c>
      <c r="D27" s="44"/>
      <c r="E27" s="45"/>
      <c r="F27" s="44"/>
      <c r="G27" s="44"/>
    </row>
    <row r="28" spans="1:7" x14ac:dyDescent="0.25">
      <c r="A28" t="s">
        <v>85</v>
      </c>
      <c r="B28" t="s">
        <v>78</v>
      </c>
      <c r="C28" t="s">
        <v>86</v>
      </c>
      <c r="D28" s="44" t="s">
        <v>88</v>
      </c>
      <c r="E28" s="45" t="s">
        <v>113</v>
      </c>
      <c r="F28" s="44" t="s">
        <v>123</v>
      </c>
      <c r="G28" s="44" t="s">
        <v>119</v>
      </c>
    </row>
    <row r="29" spans="1:7" x14ac:dyDescent="0.25">
      <c r="A29" t="s">
        <v>85</v>
      </c>
      <c r="B29" t="s">
        <v>79</v>
      </c>
      <c r="C29" t="s">
        <v>86</v>
      </c>
      <c r="D29" s="44"/>
      <c r="E29" s="45"/>
      <c r="F29" s="44"/>
      <c r="G29" s="44"/>
    </row>
    <row r="30" spans="1:7" x14ac:dyDescent="0.25">
      <c r="A30" t="s">
        <v>85</v>
      </c>
      <c r="B30" t="s">
        <v>78</v>
      </c>
      <c r="C30" t="s">
        <v>86</v>
      </c>
      <c r="D30" s="44" t="s">
        <v>90</v>
      </c>
      <c r="E30" s="45" t="s">
        <v>115</v>
      </c>
      <c r="F30" s="44" t="s">
        <v>123</v>
      </c>
      <c r="G30" s="44" t="s">
        <v>119</v>
      </c>
    </row>
    <row r="31" spans="1:7" x14ac:dyDescent="0.25">
      <c r="A31" t="s">
        <v>85</v>
      </c>
      <c r="B31" t="s">
        <v>79</v>
      </c>
      <c r="C31" t="s">
        <v>86</v>
      </c>
      <c r="D31" s="44"/>
      <c r="E31" s="45"/>
      <c r="F31" s="44"/>
      <c r="G31" s="44"/>
    </row>
  </sheetData>
  <mergeCells count="44">
    <mergeCell ref="G30:G31"/>
    <mergeCell ref="D16:D19"/>
    <mergeCell ref="E16:E19"/>
    <mergeCell ref="F16:F19"/>
    <mergeCell ref="G16:G19"/>
    <mergeCell ref="G20:G23"/>
    <mergeCell ref="F30:F31"/>
    <mergeCell ref="F20:F23"/>
    <mergeCell ref="G26:G27"/>
    <mergeCell ref="E30:E31"/>
    <mergeCell ref="D26:D27"/>
    <mergeCell ref="D28:D29"/>
    <mergeCell ref="E26:E27"/>
    <mergeCell ref="E28:E29"/>
    <mergeCell ref="D30:D31"/>
    <mergeCell ref="F26:F27"/>
    <mergeCell ref="F28:F29"/>
    <mergeCell ref="G8:G9"/>
    <mergeCell ref="G10:G11"/>
    <mergeCell ref="G12:G13"/>
    <mergeCell ref="G14:G15"/>
    <mergeCell ref="G24:G25"/>
    <mergeCell ref="G28:G29"/>
    <mergeCell ref="F8:F9"/>
    <mergeCell ref="F10:F11"/>
    <mergeCell ref="F12:F13"/>
    <mergeCell ref="F14:F15"/>
    <mergeCell ref="F24:F25"/>
    <mergeCell ref="D20:D23"/>
    <mergeCell ref="E20:E23"/>
    <mergeCell ref="E24:E25"/>
    <mergeCell ref="D12:D13"/>
    <mergeCell ref="D14:D15"/>
    <mergeCell ref="D24:D25"/>
    <mergeCell ref="A12:A13"/>
    <mergeCell ref="A14:A15"/>
    <mergeCell ref="E12:E13"/>
    <mergeCell ref="E14:E15"/>
    <mergeCell ref="E8:E9"/>
    <mergeCell ref="A8:A9"/>
    <mergeCell ref="A10:A11"/>
    <mergeCell ref="D10:D11"/>
    <mergeCell ref="D8:D9"/>
    <mergeCell ref="E10:E1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DEFB-7F37-4A93-8090-9A6190221CF8}">
  <dimension ref="A1:H34"/>
  <sheetViews>
    <sheetView tabSelected="1" workbookViewId="0">
      <selection activeCell="R15" sqref="R15"/>
    </sheetView>
  </sheetViews>
  <sheetFormatPr defaultRowHeight="15" x14ac:dyDescent="0.25"/>
  <cols>
    <col min="1" max="8" width="13.85546875" customWidth="1"/>
  </cols>
  <sheetData>
    <row r="1" spans="1:8" x14ac:dyDescent="0.25">
      <c r="A1" s="47" t="s">
        <v>133</v>
      </c>
      <c r="B1" s="48" t="s">
        <v>134</v>
      </c>
      <c r="C1" s="48" t="s">
        <v>135</v>
      </c>
      <c r="D1" s="48" t="s">
        <v>136</v>
      </c>
      <c r="E1" s="48" t="s">
        <v>137</v>
      </c>
      <c r="F1" s="48" t="s">
        <v>138</v>
      </c>
      <c r="G1" s="48" t="s">
        <v>30</v>
      </c>
      <c r="H1" s="49" t="s">
        <v>139</v>
      </c>
    </row>
    <row r="2" spans="1:8" x14ac:dyDescent="0.25">
      <c r="A2" s="16" t="s">
        <v>4</v>
      </c>
      <c r="B2" s="50">
        <v>1</v>
      </c>
      <c r="C2" s="50" t="s">
        <v>91</v>
      </c>
      <c r="D2" s="50">
        <v>1</v>
      </c>
      <c r="E2" s="51">
        <v>1</v>
      </c>
      <c r="F2" s="50"/>
      <c r="G2" s="50"/>
      <c r="H2" s="24"/>
    </row>
    <row r="3" spans="1:8" x14ac:dyDescent="0.25">
      <c r="A3" s="52" t="s">
        <v>4</v>
      </c>
      <c r="B3" s="42">
        <v>1</v>
      </c>
      <c r="C3" s="42" t="s">
        <v>132</v>
      </c>
      <c r="D3" s="42">
        <v>-1</v>
      </c>
      <c r="E3" s="53">
        <v>1</v>
      </c>
      <c r="F3" s="42" t="s">
        <v>33</v>
      </c>
      <c r="G3" s="42">
        <v>30</v>
      </c>
      <c r="H3" s="54">
        <v>1.02</v>
      </c>
    </row>
    <row r="4" spans="1:8" x14ac:dyDescent="0.25">
      <c r="E4" s="43"/>
      <c r="H4" s="43"/>
    </row>
    <row r="5" spans="1:8" x14ac:dyDescent="0.25">
      <c r="A5" s="47" t="s">
        <v>133</v>
      </c>
      <c r="B5" s="48" t="s">
        <v>134</v>
      </c>
      <c r="C5" s="48" t="s">
        <v>135</v>
      </c>
      <c r="D5" s="48" t="s">
        <v>136</v>
      </c>
      <c r="E5" s="48" t="s">
        <v>137</v>
      </c>
      <c r="F5" s="48" t="s">
        <v>138</v>
      </c>
      <c r="G5" s="48" t="s">
        <v>30</v>
      </c>
      <c r="H5" s="49" t="s">
        <v>139</v>
      </c>
    </row>
    <row r="6" spans="1:8" x14ac:dyDescent="0.25">
      <c r="A6" s="52" t="s">
        <v>70</v>
      </c>
      <c r="B6" s="42">
        <v>1</v>
      </c>
      <c r="C6" s="42" t="s">
        <v>132</v>
      </c>
      <c r="D6" s="42">
        <v>-1</v>
      </c>
      <c r="E6" s="53">
        <v>1</v>
      </c>
      <c r="F6" s="42" t="s">
        <v>34</v>
      </c>
      <c r="G6" s="42">
        <v>30</v>
      </c>
      <c r="H6" s="54">
        <v>0.9</v>
      </c>
    </row>
    <row r="8" spans="1:8" x14ac:dyDescent="0.25">
      <c r="A8" s="47" t="s">
        <v>133</v>
      </c>
      <c r="B8" s="48" t="s">
        <v>134</v>
      </c>
      <c r="C8" s="48" t="s">
        <v>135</v>
      </c>
      <c r="D8" s="48" t="s">
        <v>136</v>
      </c>
      <c r="E8" s="48" t="s">
        <v>137</v>
      </c>
      <c r="F8" s="48" t="s">
        <v>138</v>
      </c>
      <c r="G8" s="48" t="s">
        <v>30</v>
      </c>
      <c r="H8" s="49" t="s">
        <v>139</v>
      </c>
    </row>
    <row r="9" spans="1:8" x14ac:dyDescent="0.25">
      <c r="A9" s="16" t="s">
        <v>56</v>
      </c>
      <c r="B9" s="50">
        <v>1</v>
      </c>
      <c r="C9" s="50" t="s">
        <v>132</v>
      </c>
      <c r="D9" s="50">
        <v>1</v>
      </c>
      <c r="E9" s="51">
        <v>1</v>
      </c>
      <c r="F9" s="50" t="s">
        <v>33</v>
      </c>
      <c r="G9" s="50">
        <v>60</v>
      </c>
      <c r="H9" s="55">
        <v>1.05</v>
      </c>
    </row>
    <row r="10" spans="1:8" x14ac:dyDescent="0.25">
      <c r="A10" s="16" t="s">
        <v>56</v>
      </c>
      <c r="B10" s="50">
        <v>1</v>
      </c>
      <c r="C10" s="50" t="s">
        <v>132</v>
      </c>
      <c r="D10" s="50">
        <v>-1</v>
      </c>
      <c r="E10" s="51">
        <v>1</v>
      </c>
      <c r="F10" s="50" t="s">
        <v>33</v>
      </c>
      <c r="G10" s="50">
        <v>60</v>
      </c>
      <c r="H10" s="55">
        <v>1.02</v>
      </c>
    </row>
    <row r="11" spans="1:8" x14ac:dyDescent="0.25">
      <c r="A11" s="16" t="s">
        <v>56</v>
      </c>
      <c r="B11" s="50">
        <v>1</v>
      </c>
      <c r="C11" s="50" t="s">
        <v>132</v>
      </c>
      <c r="D11" s="50">
        <v>1</v>
      </c>
      <c r="E11" s="51">
        <v>1</v>
      </c>
      <c r="F11" s="50" t="s">
        <v>34</v>
      </c>
      <c r="G11" s="50">
        <v>60</v>
      </c>
      <c r="H11" s="55">
        <v>0.98</v>
      </c>
    </row>
    <row r="12" spans="1:8" x14ac:dyDescent="0.25">
      <c r="A12" s="52" t="s">
        <v>56</v>
      </c>
      <c r="B12" s="42">
        <v>1</v>
      </c>
      <c r="C12" s="42" t="s">
        <v>132</v>
      </c>
      <c r="D12" s="42">
        <v>-1</v>
      </c>
      <c r="E12" s="53">
        <v>1</v>
      </c>
      <c r="F12" s="42" t="s">
        <v>34</v>
      </c>
      <c r="G12" s="42">
        <v>60</v>
      </c>
      <c r="H12" s="54">
        <v>0.95</v>
      </c>
    </row>
    <row r="14" spans="1:8" x14ac:dyDescent="0.25">
      <c r="A14" s="47" t="s">
        <v>133</v>
      </c>
      <c r="B14" s="48" t="s">
        <v>134</v>
      </c>
      <c r="C14" s="48" t="s">
        <v>135</v>
      </c>
      <c r="D14" s="48" t="s">
        <v>136</v>
      </c>
      <c r="E14" s="48" t="s">
        <v>137</v>
      </c>
      <c r="F14" s="48" t="s">
        <v>138</v>
      </c>
      <c r="G14" s="48" t="s">
        <v>30</v>
      </c>
      <c r="H14" s="49" t="s">
        <v>139</v>
      </c>
    </row>
    <row r="15" spans="1:8" x14ac:dyDescent="0.25">
      <c r="A15" s="16" t="s">
        <v>58</v>
      </c>
      <c r="B15" s="50">
        <v>1</v>
      </c>
      <c r="C15" s="50" t="s">
        <v>132</v>
      </c>
      <c r="D15" s="50">
        <v>1</v>
      </c>
      <c r="E15" s="51">
        <v>1</v>
      </c>
      <c r="F15" s="50" t="s">
        <v>33</v>
      </c>
      <c r="G15" s="50">
        <v>30</v>
      </c>
      <c r="H15" s="55">
        <v>1</v>
      </c>
    </row>
    <row r="16" spans="1:8" x14ac:dyDescent="0.25">
      <c r="A16" s="52" t="s">
        <v>58</v>
      </c>
      <c r="B16" s="42">
        <v>1</v>
      </c>
      <c r="C16" s="42" t="s">
        <v>132</v>
      </c>
      <c r="D16" s="42">
        <v>-1</v>
      </c>
      <c r="E16" s="53">
        <v>1</v>
      </c>
      <c r="F16" s="42" t="s">
        <v>34</v>
      </c>
      <c r="G16" s="42">
        <v>30</v>
      </c>
      <c r="H16" s="54">
        <v>1</v>
      </c>
    </row>
    <row r="18" spans="1:8" x14ac:dyDescent="0.25">
      <c r="A18" s="47" t="s">
        <v>133</v>
      </c>
      <c r="B18" s="48" t="s">
        <v>134</v>
      </c>
      <c r="C18" s="48" t="s">
        <v>135</v>
      </c>
      <c r="D18" s="48" t="s">
        <v>136</v>
      </c>
      <c r="E18" s="48" t="s">
        <v>137</v>
      </c>
      <c r="F18" s="48" t="s">
        <v>138</v>
      </c>
      <c r="G18" s="48" t="s">
        <v>30</v>
      </c>
      <c r="H18" s="49" t="s">
        <v>139</v>
      </c>
    </row>
    <row r="19" spans="1:8" x14ac:dyDescent="0.25">
      <c r="A19" s="16" t="s">
        <v>60</v>
      </c>
      <c r="B19" s="50">
        <v>1</v>
      </c>
      <c r="C19" s="50" t="s">
        <v>132</v>
      </c>
      <c r="D19" s="50">
        <v>-1</v>
      </c>
      <c r="E19" s="51">
        <v>1</v>
      </c>
      <c r="F19" s="50" t="s">
        <v>33</v>
      </c>
      <c r="G19" s="50">
        <v>30</v>
      </c>
      <c r="H19" s="55">
        <v>1.05</v>
      </c>
    </row>
    <row r="20" spans="1:8" x14ac:dyDescent="0.25">
      <c r="A20" s="52" t="s">
        <v>60</v>
      </c>
      <c r="B20" s="42">
        <v>1</v>
      </c>
      <c r="C20" s="42" t="s">
        <v>132</v>
      </c>
      <c r="D20" s="42">
        <v>-1</v>
      </c>
      <c r="E20" s="53">
        <v>1</v>
      </c>
      <c r="F20" s="42" t="s">
        <v>34</v>
      </c>
      <c r="G20" s="42">
        <v>30</v>
      </c>
      <c r="H20" s="54">
        <v>0.95</v>
      </c>
    </row>
    <row r="22" spans="1:8" x14ac:dyDescent="0.25">
      <c r="A22" s="47" t="s">
        <v>133</v>
      </c>
      <c r="B22" s="48" t="s">
        <v>134</v>
      </c>
      <c r="C22" s="48" t="s">
        <v>135</v>
      </c>
      <c r="D22" s="48" t="s">
        <v>136</v>
      </c>
      <c r="E22" s="48" t="s">
        <v>137</v>
      </c>
      <c r="F22" s="48" t="s">
        <v>138</v>
      </c>
      <c r="G22" s="48" t="s">
        <v>30</v>
      </c>
      <c r="H22" s="49" t="s">
        <v>139</v>
      </c>
    </row>
    <row r="23" spans="1:8" x14ac:dyDescent="0.25">
      <c r="A23" s="16" t="s">
        <v>85</v>
      </c>
      <c r="B23" s="50">
        <v>1</v>
      </c>
      <c r="C23" s="50" t="s">
        <v>132</v>
      </c>
      <c r="D23" s="50">
        <v>1</v>
      </c>
      <c r="E23" s="51">
        <v>0.5</v>
      </c>
      <c r="F23" s="50" t="s">
        <v>33</v>
      </c>
      <c r="G23" s="50">
        <v>30</v>
      </c>
      <c r="H23" s="55">
        <v>1.1000000000000001</v>
      </c>
    </row>
    <row r="24" spans="1:8" x14ac:dyDescent="0.25">
      <c r="A24" s="16" t="s">
        <v>85</v>
      </c>
      <c r="B24" s="50">
        <v>1</v>
      </c>
      <c r="C24" s="50" t="s">
        <v>132</v>
      </c>
      <c r="D24" s="50">
        <v>-1</v>
      </c>
      <c r="E24" s="51">
        <v>0.5</v>
      </c>
      <c r="F24" s="50" t="s">
        <v>33</v>
      </c>
      <c r="G24" s="50">
        <v>30</v>
      </c>
      <c r="H24" s="55">
        <v>1.05</v>
      </c>
    </row>
    <row r="25" spans="1:8" x14ac:dyDescent="0.25">
      <c r="A25" s="16" t="s">
        <v>85</v>
      </c>
      <c r="B25" s="50">
        <v>2</v>
      </c>
      <c r="C25" s="50" t="s">
        <v>132</v>
      </c>
      <c r="D25" s="50">
        <v>1</v>
      </c>
      <c r="E25" s="51">
        <v>0.5</v>
      </c>
      <c r="F25" s="50" t="s">
        <v>34</v>
      </c>
      <c r="G25" s="50">
        <v>60</v>
      </c>
      <c r="H25" s="55">
        <v>0.95</v>
      </c>
    </row>
    <row r="26" spans="1:8" x14ac:dyDescent="0.25">
      <c r="A26" s="52" t="s">
        <v>85</v>
      </c>
      <c r="B26" s="42">
        <v>2</v>
      </c>
      <c r="C26" s="42" t="s">
        <v>132</v>
      </c>
      <c r="D26" s="42">
        <v>-1</v>
      </c>
      <c r="E26" s="53">
        <v>0.5</v>
      </c>
      <c r="F26" s="42" t="s">
        <v>34</v>
      </c>
      <c r="G26" s="42">
        <v>60</v>
      </c>
      <c r="H26" s="54">
        <v>0.9</v>
      </c>
    </row>
    <row r="28" spans="1:8" x14ac:dyDescent="0.25">
      <c r="A28" s="47" t="s">
        <v>133</v>
      </c>
      <c r="B28" s="48" t="s">
        <v>134</v>
      </c>
      <c r="C28" s="48" t="s">
        <v>135</v>
      </c>
      <c r="D28" s="48" t="s">
        <v>136</v>
      </c>
      <c r="E28" s="48" t="s">
        <v>137</v>
      </c>
      <c r="F28" s="48" t="s">
        <v>138</v>
      </c>
      <c r="G28" s="48" t="s">
        <v>30</v>
      </c>
      <c r="H28" s="49" t="s">
        <v>139</v>
      </c>
    </row>
    <row r="29" spans="1:8" x14ac:dyDescent="0.25">
      <c r="A29" s="16" t="s">
        <v>60</v>
      </c>
      <c r="B29" s="50">
        <v>1</v>
      </c>
      <c r="C29" s="50" t="s">
        <v>132</v>
      </c>
      <c r="D29" s="50">
        <v>1</v>
      </c>
      <c r="E29" s="51">
        <v>0.4</v>
      </c>
      <c r="F29" s="50" t="s">
        <v>33</v>
      </c>
      <c r="G29" s="50">
        <v>30</v>
      </c>
      <c r="H29" s="55">
        <v>1.05</v>
      </c>
    </row>
    <row r="30" spans="1:8" x14ac:dyDescent="0.25">
      <c r="A30" s="16" t="s">
        <v>60</v>
      </c>
      <c r="B30" s="50">
        <v>1</v>
      </c>
      <c r="C30" s="50" t="s">
        <v>132</v>
      </c>
      <c r="D30" s="50">
        <v>1</v>
      </c>
      <c r="E30" s="51">
        <v>0.4</v>
      </c>
      <c r="F30" s="50" t="s">
        <v>34</v>
      </c>
      <c r="G30" s="50">
        <v>30</v>
      </c>
      <c r="H30" s="55">
        <v>0.95</v>
      </c>
    </row>
    <row r="31" spans="1:8" x14ac:dyDescent="0.25">
      <c r="A31" s="16" t="s">
        <v>4</v>
      </c>
      <c r="B31" s="50">
        <v>2</v>
      </c>
      <c r="C31" s="50" t="s">
        <v>91</v>
      </c>
      <c r="D31" s="50">
        <v>1</v>
      </c>
      <c r="E31" s="51">
        <v>0.4</v>
      </c>
      <c r="F31" s="50"/>
      <c r="G31" s="50"/>
      <c r="H31" s="24"/>
    </row>
    <row r="32" spans="1:8" x14ac:dyDescent="0.25">
      <c r="A32" s="16" t="s">
        <v>4</v>
      </c>
      <c r="B32" s="50">
        <v>2</v>
      </c>
      <c r="C32" s="50" t="s">
        <v>132</v>
      </c>
      <c r="D32" s="50">
        <v>-1</v>
      </c>
      <c r="E32" s="51">
        <v>0.4</v>
      </c>
      <c r="F32" s="50" t="s">
        <v>33</v>
      </c>
      <c r="G32" s="50">
        <v>30</v>
      </c>
      <c r="H32" s="55">
        <v>1.02</v>
      </c>
    </row>
    <row r="33" spans="1:8" x14ac:dyDescent="0.25">
      <c r="A33" s="16" t="s">
        <v>91</v>
      </c>
      <c r="B33" s="50">
        <v>3</v>
      </c>
      <c r="C33" s="50" t="s">
        <v>91</v>
      </c>
      <c r="D33" s="50">
        <v>1</v>
      </c>
      <c r="E33" s="51">
        <v>0.2</v>
      </c>
      <c r="F33" s="50"/>
      <c r="G33" s="50"/>
      <c r="H33" s="24"/>
    </row>
    <row r="34" spans="1:8" x14ac:dyDescent="0.25">
      <c r="A34" s="52" t="s">
        <v>68</v>
      </c>
      <c r="B34" s="42">
        <v>4</v>
      </c>
      <c r="C34" s="42" t="s">
        <v>37</v>
      </c>
      <c r="D34" s="42">
        <v>1</v>
      </c>
      <c r="E34" s="42"/>
      <c r="F34" s="42"/>
      <c r="G34" s="42"/>
      <c r="H34" s="5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2CFF-09AE-49D9-973E-E4CDF5139201}">
  <dimension ref="F3:AK68"/>
  <sheetViews>
    <sheetView topLeftCell="G22" zoomScale="120" workbookViewId="0">
      <selection activeCell="W37" sqref="W37:W38"/>
    </sheetView>
  </sheetViews>
  <sheetFormatPr defaultRowHeight="15" x14ac:dyDescent="0.25"/>
  <cols>
    <col min="6" max="6" width="15.5703125" bestFit="1" customWidth="1"/>
    <col min="8" max="8" width="9.42578125" style="2" bestFit="1" customWidth="1"/>
    <col min="9" max="9" width="25.28515625" bestFit="1" customWidth="1"/>
    <col min="10" max="10" width="16" customWidth="1"/>
    <col min="17" max="17" width="9.7109375" bestFit="1" customWidth="1"/>
    <col min="18" max="18" width="8" bestFit="1" customWidth="1"/>
    <col min="19" max="19" width="14.85546875" style="2" customWidth="1"/>
    <col min="20" max="20" width="7.28515625" customWidth="1"/>
    <col min="27" max="27" width="26.5703125" style="2" customWidth="1"/>
    <col min="28" max="28" width="15.7109375" customWidth="1"/>
    <col min="30" max="30" width="9.85546875" bestFit="1" customWidth="1"/>
    <col min="31" max="32" width="13" style="5" customWidth="1"/>
    <col min="33" max="34" width="12" style="5" customWidth="1"/>
    <col min="35" max="35" width="10.7109375" customWidth="1"/>
  </cols>
  <sheetData>
    <row r="3" spans="6:35" x14ac:dyDescent="0.25">
      <c r="M3" s="3" t="s">
        <v>16</v>
      </c>
      <c r="N3" t="s">
        <v>17</v>
      </c>
      <c r="O3" t="s">
        <v>15</v>
      </c>
      <c r="P3" t="s">
        <v>18</v>
      </c>
    </row>
    <row r="4" spans="6:35" x14ac:dyDescent="0.25">
      <c r="U4" s="4" t="s">
        <v>52</v>
      </c>
    </row>
    <row r="5" spans="6:35" x14ac:dyDescent="0.25">
      <c r="Q5" t="s">
        <v>38</v>
      </c>
    </row>
    <row r="6" spans="6:35" x14ac:dyDescent="0.25">
      <c r="F6" s="1">
        <v>1000000</v>
      </c>
      <c r="Q6" t="s">
        <v>39</v>
      </c>
      <c r="AA6" s="2" t="s">
        <v>45</v>
      </c>
      <c r="AB6">
        <v>200</v>
      </c>
    </row>
    <row r="8" spans="6:35" x14ac:dyDescent="0.25">
      <c r="Q8" s="4" t="s">
        <v>40</v>
      </c>
    </row>
    <row r="9" spans="6:35" x14ac:dyDescent="0.25">
      <c r="Q9" s="3" t="s">
        <v>57</v>
      </c>
    </row>
    <row r="11" spans="6:35" x14ac:dyDescent="0.25">
      <c r="H11" s="2" t="s">
        <v>0</v>
      </c>
      <c r="M11" s="3" t="s">
        <v>4</v>
      </c>
      <c r="S11" s="2" t="s">
        <v>62</v>
      </c>
      <c r="U11" t="s">
        <v>35</v>
      </c>
      <c r="AA11" s="2" t="s">
        <v>43</v>
      </c>
      <c r="AB11">
        <f>$AB$6*AA14</f>
        <v>8000</v>
      </c>
      <c r="AE11" s="6" t="s">
        <v>47</v>
      </c>
      <c r="AF11" s="6" t="s">
        <v>17</v>
      </c>
      <c r="AG11" s="6" t="s">
        <v>48</v>
      </c>
      <c r="AH11" s="6" t="s">
        <v>49</v>
      </c>
      <c r="AI11" s="6" t="s">
        <v>53</v>
      </c>
    </row>
    <row r="12" spans="6:35" x14ac:dyDescent="0.25">
      <c r="H12" s="2">
        <v>1</v>
      </c>
      <c r="I12" t="s">
        <v>1</v>
      </c>
      <c r="J12" t="s">
        <v>5</v>
      </c>
      <c r="M12" t="s">
        <v>14</v>
      </c>
      <c r="O12" s="10" t="s">
        <v>25</v>
      </c>
      <c r="P12" s="11" t="s">
        <v>26</v>
      </c>
      <c r="Q12" s="11" t="s">
        <v>21</v>
      </c>
      <c r="R12" s="11" t="s">
        <v>22</v>
      </c>
      <c r="S12" s="26" t="s">
        <v>23</v>
      </c>
      <c r="T12" s="11" t="s">
        <v>32</v>
      </c>
      <c r="U12" s="11" t="s">
        <v>24</v>
      </c>
      <c r="V12" s="11" t="s">
        <v>30</v>
      </c>
      <c r="W12" s="12" t="s">
        <v>29</v>
      </c>
      <c r="AA12" s="2" t="s">
        <v>42</v>
      </c>
      <c r="AB12">
        <f>$AB$6*AA17</f>
        <v>7000</v>
      </c>
    </row>
    <row r="13" spans="6:35" x14ac:dyDescent="0.25">
      <c r="H13" s="2">
        <v>2</v>
      </c>
      <c r="I13" t="s">
        <v>2</v>
      </c>
      <c r="J13" t="s">
        <v>5</v>
      </c>
      <c r="M13" t="s">
        <v>14</v>
      </c>
      <c r="O13" s="13" t="s">
        <v>4</v>
      </c>
      <c r="P13" s="14">
        <v>1</v>
      </c>
      <c r="Q13" s="14" t="s">
        <v>27</v>
      </c>
      <c r="R13" s="14">
        <v>1</v>
      </c>
      <c r="S13" s="27">
        <v>1</v>
      </c>
      <c r="T13" s="15"/>
      <c r="U13" s="14"/>
      <c r="V13" s="14"/>
      <c r="W13" s="21"/>
      <c r="AE13" s="5">
        <v>60</v>
      </c>
      <c r="AF13" s="5">
        <f>(AE13-$AA$17)*$AB$6</f>
        <v>5000</v>
      </c>
      <c r="AG13" s="5">
        <f>MAX(0,$AA$20-AE13 )*$AB$6</f>
        <v>0</v>
      </c>
      <c r="AH13" s="5">
        <f>MAX(0,AE13-$AA$14)*$AB$6</f>
        <v>4000</v>
      </c>
      <c r="AI13">
        <f>MAX(0,$AA$20-AE13)*$AK$20</f>
        <v>0</v>
      </c>
    </row>
    <row r="14" spans="6:35" x14ac:dyDescent="0.25">
      <c r="H14" s="2">
        <v>3</v>
      </c>
      <c r="I14" t="s">
        <v>3</v>
      </c>
      <c r="O14" s="16" t="s">
        <v>4</v>
      </c>
      <c r="P14">
        <v>1</v>
      </c>
      <c r="Q14" t="s">
        <v>28</v>
      </c>
      <c r="R14">
        <v>-1</v>
      </c>
      <c r="S14" s="28">
        <v>1</v>
      </c>
      <c r="T14" s="17" t="s">
        <v>33</v>
      </c>
      <c r="U14" s="17">
        <v>0.5</v>
      </c>
      <c r="V14">
        <v>30</v>
      </c>
      <c r="W14" s="22">
        <v>1.02</v>
      </c>
      <c r="Z14" t="s">
        <v>50</v>
      </c>
      <c r="AA14" s="2">
        <v>40</v>
      </c>
      <c r="AE14" s="5">
        <v>45</v>
      </c>
      <c r="AF14" s="5">
        <f t="shared" ref="AF14:AF24" si="0">(AE14-$AA$17)*$AB$6</f>
        <v>2000</v>
      </c>
      <c r="AG14" s="5">
        <f t="shared" ref="AG14:AG24" si="1">MAX(0,$AA$20-AE14 )*$AB$6</f>
        <v>0</v>
      </c>
      <c r="AH14" s="5">
        <f t="shared" ref="AH14:AH24" si="2">MAX(0,AE14-$AA$14)*$AB$6</f>
        <v>1000</v>
      </c>
      <c r="AI14">
        <f t="shared" ref="AI14:AI24" si="3">MAX(0,$AA$20-AE14)*$AK$20</f>
        <v>0</v>
      </c>
    </row>
    <row r="15" spans="6:35" x14ac:dyDescent="0.25">
      <c r="G15" s="2"/>
      <c r="I15" t="s">
        <v>8</v>
      </c>
      <c r="O15" s="18"/>
      <c r="P15" s="19"/>
      <c r="Q15" s="19"/>
      <c r="R15" s="19"/>
      <c r="S15" s="29"/>
      <c r="T15" s="19"/>
      <c r="U15" s="19"/>
      <c r="V15" s="19"/>
      <c r="W15" s="23"/>
      <c r="AB15">
        <f>AA14/AA17-1</f>
        <v>0.14285714285714279</v>
      </c>
      <c r="AE15" s="5">
        <v>42</v>
      </c>
      <c r="AF15" s="5">
        <f t="shared" si="0"/>
        <v>1400</v>
      </c>
      <c r="AG15" s="5">
        <f t="shared" si="1"/>
        <v>0</v>
      </c>
      <c r="AH15" s="5">
        <f t="shared" si="2"/>
        <v>400</v>
      </c>
      <c r="AI15">
        <f t="shared" si="3"/>
        <v>0</v>
      </c>
    </row>
    <row r="16" spans="6:35" x14ac:dyDescent="0.25">
      <c r="G16" s="2"/>
      <c r="I16" s="2" t="s">
        <v>6</v>
      </c>
      <c r="J16" t="s">
        <v>11</v>
      </c>
      <c r="M16" t="s">
        <v>13</v>
      </c>
      <c r="N16" s="25" t="s">
        <v>61</v>
      </c>
      <c r="O16" s="33" t="s">
        <v>31</v>
      </c>
      <c r="P16" s="34">
        <v>1</v>
      </c>
      <c r="Q16" s="34" t="s">
        <v>28</v>
      </c>
      <c r="R16" s="34">
        <v>1</v>
      </c>
      <c r="S16" s="35">
        <v>0.5</v>
      </c>
      <c r="T16" s="36" t="s">
        <v>34</v>
      </c>
      <c r="U16" s="36">
        <v>1</v>
      </c>
      <c r="V16" s="34">
        <v>90</v>
      </c>
      <c r="W16" s="37">
        <v>0.95</v>
      </c>
      <c r="AE16" s="5">
        <v>38</v>
      </c>
      <c r="AF16" s="5">
        <f t="shared" si="0"/>
        <v>600</v>
      </c>
      <c r="AG16" s="5">
        <f t="shared" si="1"/>
        <v>0</v>
      </c>
      <c r="AH16" s="5">
        <f t="shared" si="2"/>
        <v>0</v>
      </c>
      <c r="AI16">
        <f t="shared" si="3"/>
        <v>0</v>
      </c>
    </row>
    <row r="17" spans="7:37" x14ac:dyDescent="0.25">
      <c r="G17" s="2"/>
      <c r="I17" s="2" t="s">
        <v>7</v>
      </c>
      <c r="J17" t="s">
        <v>12</v>
      </c>
      <c r="M17" t="s">
        <v>14</v>
      </c>
      <c r="N17" s="25" t="s">
        <v>61</v>
      </c>
      <c r="O17" s="33" t="s">
        <v>31</v>
      </c>
      <c r="P17" s="34">
        <v>1</v>
      </c>
      <c r="Q17" s="34" t="s">
        <v>28</v>
      </c>
      <c r="R17" s="34">
        <v>-1</v>
      </c>
      <c r="S17" s="35">
        <v>0.5</v>
      </c>
      <c r="T17" s="36" t="s">
        <v>34</v>
      </c>
      <c r="U17" s="36">
        <v>1</v>
      </c>
      <c r="V17" s="34">
        <v>90</v>
      </c>
      <c r="W17" s="37">
        <v>0.75</v>
      </c>
      <c r="Z17" t="s">
        <v>41</v>
      </c>
      <c r="AA17" s="2">
        <v>35</v>
      </c>
      <c r="AB17">
        <f>AA17*AB6</f>
        <v>7000</v>
      </c>
      <c r="AC17">
        <f>AB19*AB17</f>
        <v>-1000.0000000000003</v>
      </c>
      <c r="AE17" s="5">
        <v>36</v>
      </c>
      <c r="AF17" s="5">
        <f t="shared" si="0"/>
        <v>200</v>
      </c>
      <c r="AG17" s="5">
        <f t="shared" si="1"/>
        <v>0</v>
      </c>
      <c r="AH17" s="5">
        <f t="shared" si="2"/>
        <v>0</v>
      </c>
      <c r="AI17">
        <f t="shared" si="3"/>
        <v>0</v>
      </c>
    </row>
    <row r="18" spans="7:37" x14ac:dyDescent="0.25">
      <c r="I18" t="s">
        <v>9</v>
      </c>
      <c r="N18" s="25" t="s">
        <v>61</v>
      </c>
      <c r="O18" s="33" t="s">
        <v>31</v>
      </c>
      <c r="P18" s="34">
        <v>2</v>
      </c>
      <c r="Q18" s="34" t="s">
        <v>27</v>
      </c>
      <c r="R18" s="34">
        <v>1</v>
      </c>
      <c r="S18" s="35">
        <v>0.5</v>
      </c>
      <c r="T18" s="34"/>
      <c r="U18" s="34"/>
      <c r="V18" s="34"/>
      <c r="W18" s="38"/>
      <c r="AE18" s="5">
        <v>33</v>
      </c>
      <c r="AF18" s="5">
        <f t="shared" si="0"/>
        <v>-400</v>
      </c>
      <c r="AG18" s="5">
        <f t="shared" si="1"/>
        <v>0</v>
      </c>
      <c r="AH18" s="5">
        <f t="shared" si="2"/>
        <v>0</v>
      </c>
      <c r="AI18">
        <f t="shared" si="3"/>
        <v>0</v>
      </c>
      <c r="AK18">
        <f>AB17/AA17</f>
        <v>200</v>
      </c>
    </row>
    <row r="19" spans="7:37" x14ac:dyDescent="0.25">
      <c r="I19" t="s">
        <v>10</v>
      </c>
      <c r="M19" t="s">
        <v>14</v>
      </c>
      <c r="N19" s="25" t="s">
        <v>61</v>
      </c>
      <c r="O19" s="33" t="s">
        <v>31</v>
      </c>
      <c r="P19" s="34">
        <v>2</v>
      </c>
      <c r="Q19" s="34" t="s">
        <v>28</v>
      </c>
      <c r="R19" s="34">
        <v>-1</v>
      </c>
      <c r="S19" s="35">
        <v>0.5</v>
      </c>
      <c r="T19" s="36" t="s">
        <v>33</v>
      </c>
      <c r="U19" s="36">
        <v>0.5</v>
      </c>
      <c r="V19" s="34">
        <v>30</v>
      </c>
      <c r="W19" s="37">
        <v>1.02</v>
      </c>
      <c r="AB19">
        <f>AA20/AA17-1</f>
        <v>-0.1428571428571429</v>
      </c>
      <c r="AE19" s="5">
        <v>31</v>
      </c>
      <c r="AF19" s="5">
        <f t="shared" si="0"/>
        <v>-800</v>
      </c>
      <c r="AG19" s="5">
        <f t="shared" si="1"/>
        <v>0</v>
      </c>
      <c r="AH19" s="5">
        <f t="shared" si="2"/>
        <v>0</v>
      </c>
      <c r="AI19">
        <f t="shared" si="3"/>
        <v>0</v>
      </c>
    </row>
    <row r="20" spans="7:37" x14ac:dyDescent="0.25">
      <c r="O20" s="18"/>
      <c r="P20" s="19"/>
      <c r="Q20" s="19"/>
      <c r="R20" s="19"/>
      <c r="S20" s="29"/>
      <c r="T20" s="19"/>
      <c r="U20" s="19"/>
      <c r="V20" s="19"/>
      <c r="W20" s="23"/>
      <c r="Z20" t="s">
        <v>51</v>
      </c>
      <c r="AA20" s="2">
        <v>30</v>
      </c>
      <c r="AC20">
        <f>1+AB19</f>
        <v>0.8571428571428571</v>
      </c>
      <c r="AD20">
        <f>1/AC20</f>
        <v>1.1666666666666667</v>
      </c>
      <c r="AE20" s="5">
        <v>27</v>
      </c>
      <c r="AF20" s="5">
        <f t="shared" si="0"/>
        <v>-1600</v>
      </c>
      <c r="AG20" s="5">
        <f t="shared" si="1"/>
        <v>600</v>
      </c>
      <c r="AH20" s="5">
        <f t="shared" si="2"/>
        <v>0</v>
      </c>
      <c r="AI20">
        <f t="shared" si="3"/>
        <v>700</v>
      </c>
      <c r="AK20">
        <f>AB17/AA20</f>
        <v>233.33333333333334</v>
      </c>
    </row>
    <row r="21" spans="7:37" x14ac:dyDescent="0.25">
      <c r="O21" s="16" t="s">
        <v>36</v>
      </c>
      <c r="P21">
        <v>1</v>
      </c>
      <c r="Q21" t="s">
        <v>28</v>
      </c>
      <c r="R21">
        <v>-1</v>
      </c>
      <c r="S21" s="28">
        <v>0.75</v>
      </c>
      <c r="T21" s="17" t="s">
        <v>34</v>
      </c>
      <c r="U21" s="17"/>
      <c r="V21">
        <v>90</v>
      </c>
      <c r="W21" s="22">
        <v>0.75</v>
      </c>
      <c r="AE21" s="5">
        <v>23</v>
      </c>
      <c r="AF21" s="5">
        <f t="shared" si="0"/>
        <v>-2400</v>
      </c>
      <c r="AG21" s="5">
        <f t="shared" si="1"/>
        <v>1400</v>
      </c>
      <c r="AH21" s="5">
        <f t="shared" si="2"/>
        <v>0</v>
      </c>
      <c r="AI21">
        <f t="shared" si="3"/>
        <v>1633.3333333333335</v>
      </c>
    </row>
    <row r="22" spans="7:37" x14ac:dyDescent="0.25">
      <c r="O22" s="16" t="s">
        <v>36</v>
      </c>
      <c r="P22">
        <v>2</v>
      </c>
      <c r="Q22" t="s">
        <v>27</v>
      </c>
      <c r="R22">
        <v>1</v>
      </c>
      <c r="S22" s="28">
        <v>0.25</v>
      </c>
      <c r="W22" s="24"/>
      <c r="AA22" s="2" t="s">
        <v>44</v>
      </c>
      <c r="AB22">
        <f>$AB$6*AA20</f>
        <v>6000</v>
      </c>
      <c r="AD22">
        <f>AE22/AA17-1</f>
        <v>-0.5714285714285714</v>
      </c>
      <c r="AE22" s="5">
        <v>15</v>
      </c>
      <c r="AF22" s="5">
        <f t="shared" si="0"/>
        <v>-4000</v>
      </c>
      <c r="AG22" s="5">
        <f t="shared" si="1"/>
        <v>3000</v>
      </c>
      <c r="AH22" s="5">
        <f t="shared" si="2"/>
        <v>0</v>
      </c>
      <c r="AI22">
        <f t="shared" si="3"/>
        <v>3500</v>
      </c>
      <c r="AK22">
        <f>AK20/AK18</f>
        <v>1.1666666666666667</v>
      </c>
    </row>
    <row r="23" spans="7:37" x14ac:dyDescent="0.25">
      <c r="O23" s="18"/>
      <c r="P23" s="19"/>
      <c r="Q23" s="19"/>
      <c r="R23" s="19"/>
      <c r="S23" s="30"/>
      <c r="T23" s="19"/>
      <c r="U23" s="20"/>
      <c r="V23" s="19"/>
      <c r="W23" s="23"/>
      <c r="AA23" s="2" t="s">
        <v>46</v>
      </c>
      <c r="AB23">
        <f>$AB$6*AA17</f>
        <v>7000</v>
      </c>
      <c r="AE23" s="5">
        <v>5</v>
      </c>
      <c r="AF23" s="5">
        <f t="shared" si="0"/>
        <v>-6000</v>
      </c>
      <c r="AG23" s="5">
        <f t="shared" si="1"/>
        <v>5000</v>
      </c>
      <c r="AH23" s="5">
        <f t="shared" si="2"/>
        <v>0</v>
      </c>
      <c r="AI23">
        <f t="shared" si="3"/>
        <v>5833.3333333333339</v>
      </c>
    </row>
    <row r="24" spans="7:37" x14ac:dyDescent="0.25">
      <c r="O24" s="16" t="s">
        <v>56</v>
      </c>
      <c r="P24">
        <v>1</v>
      </c>
      <c r="Q24" t="s">
        <v>28</v>
      </c>
      <c r="R24">
        <v>1</v>
      </c>
      <c r="S24" s="28">
        <v>0.7</v>
      </c>
      <c r="T24" s="17" t="s">
        <v>33</v>
      </c>
      <c r="W24" s="22">
        <v>1.02</v>
      </c>
      <c r="AC24">
        <f>AB23/AB22</f>
        <v>1.1666666666666667</v>
      </c>
      <c r="AD24" s="7"/>
      <c r="AE24" s="5">
        <v>0</v>
      </c>
      <c r="AF24" s="5">
        <f t="shared" si="0"/>
        <v>-7000</v>
      </c>
      <c r="AG24" s="5">
        <f t="shared" si="1"/>
        <v>6000</v>
      </c>
      <c r="AH24" s="5">
        <f t="shared" si="2"/>
        <v>0</v>
      </c>
      <c r="AI24">
        <f t="shared" si="3"/>
        <v>7000</v>
      </c>
    </row>
    <row r="25" spans="7:37" x14ac:dyDescent="0.25">
      <c r="H25" s="2" t="s">
        <v>0</v>
      </c>
      <c r="I25" t="s">
        <v>20</v>
      </c>
      <c r="O25" s="16" t="s">
        <v>56</v>
      </c>
      <c r="P25">
        <v>1</v>
      </c>
      <c r="Q25" t="s">
        <v>28</v>
      </c>
      <c r="R25">
        <v>-1</v>
      </c>
      <c r="S25" s="28">
        <v>0.7</v>
      </c>
      <c r="T25" s="17" t="s">
        <v>33</v>
      </c>
      <c r="U25" s="17">
        <v>2</v>
      </c>
      <c r="W25" s="22">
        <v>1.0049999999999999</v>
      </c>
    </row>
    <row r="26" spans="7:37" x14ac:dyDescent="0.25">
      <c r="H26" s="2">
        <v>1</v>
      </c>
      <c r="I26" t="s">
        <v>19</v>
      </c>
      <c r="O26" s="16" t="s">
        <v>56</v>
      </c>
      <c r="P26">
        <v>1</v>
      </c>
      <c r="Q26" t="s">
        <v>28</v>
      </c>
      <c r="S26" s="28"/>
      <c r="T26" s="17"/>
      <c r="U26" s="17"/>
      <c r="W26" s="22">
        <v>0.99</v>
      </c>
      <c r="AG26" s="5">
        <f>(AG22+AF22)</f>
        <v>-1000</v>
      </c>
      <c r="AH26" s="8">
        <f>AI22/AG22</f>
        <v>1.1666666666666667</v>
      </c>
      <c r="AI26" s="5">
        <f>(AI22+AF22)</f>
        <v>-500</v>
      </c>
    </row>
    <row r="27" spans="7:37" x14ac:dyDescent="0.25">
      <c r="H27" s="2">
        <v>2</v>
      </c>
      <c r="O27" s="16" t="s">
        <v>56</v>
      </c>
      <c r="P27">
        <v>1</v>
      </c>
      <c r="Q27" t="s">
        <v>28</v>
      </c>
      <c r="R27">
        <v>1</v>
      </c>
      <c r="S27" s="28">
        <v>0.7</v>
      </c>
      <c r="T27" s="17" t="s">
        <v>33</v>
      </c>
      <c r="W27" s="22">
        <v>0.98</v>
      </c>
      <c r="AA27" s="9" t="s">
        <v>54</v>
      </c>
      <c r="AG27" s="8">
        <f>AG26/AB17</f>
        <v>-0.14285714285714285</v>
      </c>
      <c r="AI27" s="8">
        <f>AI26/AB17</f>
        <v>-7.1428571428571425E-2</v>
      </c>
    </row>
    <row r="28" spans="7:37" x14ac:dyDescent="0.25">
      <c r="H28" s="2">
        <v>3</v>
      </c>
      <c r="O28" s="16" t="s">
        <v>56</v>
      </c>
      <c r="P28">
        <v>2</v>
      </c>
      <c r="Q28" t="s">
        <v>37</v>
      </c>
      <c r="R28">
        <v>1</v>
      </c>
      <c r="S28" s="28">
        <v>0.3</v>
      </c>
      <c r="W28" s="24"/>
      <c r="AA28" s="9" t="s">
        <v>55</v>
      </c>
    </row>
    <row r="29" spans="7:37" x14ac:dyDescent="0.25">
      <c r="O29" s="18"/>
      <c r="P29" s="19"/>
      <c r="Q29" s="19"/>
      <c r="R29" s="19"/>
      <c r="S29" s="30"/>
      <c r="T29" s="19"/>
      <c r="U29" s="20"/>
      <c r="V29" s="19"/>
      <c r="W29" s="23"/>
    </row>
    <row r="30" spans="7:37" x14ac:dyDescent="0.25">
      <c r="O30" s="16" t="s">
        <v>58</v>
      </c>
      <c r="P30">
        <v>1</v>
      </c>
      <c r="Q30" t="s">
        <v>28</v>
      </c>
      <c r="R30">
        <v>1</v>
      </c>
      <c r="S30" s="28">
        <v>1.25</v>
      </c>
      <c r="T30" s="17" t="s">
        <v>33</v>
      </c>
      <c r="V30">
        <v>90</v>
      </c>
      <c r="W30" s="22">
        <v>1.02</v>
      </c>
    </row>
    <row r="31" spans="7:37" x14ac:dyDescent="0.25">
      <c r="O31" s="16" t="s">
        <v>58</v>
      </c>
      <c r="P31">
        <v>1</v>
      </c>
      <c r="Q31" t="s">
        <v>28</v>
      </c>
      <c r="R31">
        <v>-1</v>
      </c>
      <c r="S31" s="28">
        <v>1.25</v>
      </c>
      <c r="T31" s="17" t="s">
        <v>34</v>
      </c>
      <c r="U31" s="17">
        <v>1</v>
      </c>
      <c r="V31">
        <v>90</v>
      </c>
      <c r="W31" s="22">
        <v>0.95</v>
      </c>
    </row>
    <row r="32" spans="7:37" x14ac:dyDescent="0.25">
      <c r="O32" s="16" t="s">
        <v>58</v>
      </c>
      <c r="P32">
        <v>2</v>
      </c>
      <c r="Q32" t="s">
        <v>37</v>
      </c>
      <c r="R32">
        <v>-1</v>
      </c>
      <c r="S32" s="28">
        <v>-0.25</v>
      </c>
      <c r="W32" s="24"/>
    </row>
    <row r="33" spans="15:26" x14ac:dyDescent="0.25">
      <c r="O33" s="18"/>
      <c r="P33" s="19"/>
      <c r="Q33" s="19"/>
      <c r="R33" s="19"/>
      <c r="S33" s="30"/>
      <c r="T33" s="19"/>
      <c r="U33" s="20"/>
      <c r="V33" s="19"/>
      <c r="W33" s="23"/>
    </row>
    <row r="34" spans="15:26" x14ac:dyDescent="0.25">
      <c r="O34" s="16" t="s">
        <v>58</v>
      </c>
      <c r="P34">
        <v>1</v>
      </c>
      <c r="Q34" t="s">
        <v>28</v>
      </c>
      <c r="R34">
        <v>1</v>
      </c>
      <c r="S34" s="28">
        <v>1</v>
      </c>
      <c r="T34" s="17" t="s">
        <v>33</v>
      </c>
      <c r="V34">
        <v>90</v>
      </c>
      <c r="W34" s="22">
        <v>1</v>
      </c>
      <c r="X34" t="s">
        <v>59</v>
      </c>
    </row>
    <row r="35" spans="15:26" x14ac:dyDescent="0.25">
      <c r="O35" s="16" t="s">
        <v>58</v>
      </c>
      <c r="P35">
        <v>1</v>
      </c>
      <c r="Q35" t="s">
        <v>28</v>
      </c>
      <c r="R35">
        <v>-1</v>
      </c>
      <c r="S35" s="28">
        <v>1</v>
      </c>
      <c r="T35" s="17" t="s">
        <v>34</v>
      </c>
      <c r="U35" s="17">
        <v>1</v>
      </c>
      <c r="V35">
        <v>90</v>
      </c>
      <c r="W35" s="22">
        <v>1</v>
      </c>
    </row>
    <row r="36" spans="15:26" x14ac:dyDescent="0.25">
      <c r="O36" s="18"/>
      <c r="P36" s="19"/>
      <c r="Q36" s="19"/>
      <c r="R36" s="19"/>
      <c r="S36" s="30"/>
      <c r="T36" s="19"/>
      <c r="U36" s="20"/>
      <c r="V36" s="19"/>
      <c r="W36" s="23"/>
    </row>
    <row r="37" spans="15:26" x14ac:dyDescent="0.25">
      <c r="O37" s="16" t="s">
        <v>60</v>
      </c>
      <c r="P37">
        <v>1</v>
      </c>
      <c r="Q37" t="s">
        <v>28</v>
      </c>
      <c r="R37">
        <v>-1</v>
      </c>
      <c r="S37" s="31">
        <v>0.35</v>
      </c>
      <c r="T37" s="17" t="s">
        <v>33</v>
      </c>
      <c r="U37" s="17">
        <v>1</v>
      </c>
      <c r="V37">
        <v>30</v>
      </c>
      <c r="W37" s="22">
        <v>1.01</v>
      </c>
      <c r="Z37" s="3" t="s">
        <v>63</v>
      </c>
    </row>
    <row r="38" spans="15:26" x14ac:dyDescent="0.25">
      <c r="O38" s="16" t="s">
        <v>60</v>
      </c>
      <c r="P38">
        <v>1</v>
      </c>
      <c r="Q38" t="s">
        <v>28</v>
      </c>
      <c r="R38">
        <v>-1</v>
      </c>
      <c r="S38" s="31">
        <v>0.35</v>
      </c>
      <c r="T38" s="17" t="s">
        <v>34</v>
      </c>
      <c r="U38" s="17">
        <v>1</v>
      </c>
      <c r="V38">
        <v>30</v>
      </c>
      <c r="W38" s="22">
        <v>0.98</v>
      </c>
      <c r="Z38" t="s">
        <v>64</v>
      </c>
    </row>
    <row r="39" spans="15:26" x14ac:dyDescent="0.25">
      <c r="O39" s="16" t="s">
        <v>60</v>
      </c>
      <c r="P39">
        <v>2</v>
      </c>
      <c r="Q39" t="s">
        <v>37</v>
      </c>
      <c r="R39">
        <v>1</v>
      </c>
      <c r="S39" s="31">
        <v>0.65</v>
      </c>
      <c r="W39" s="24"/>
      <c r="Z39" t="s">
        <v>65</v>
      </c>
    </row>
    <row r="40" spans="15:26" x14ac:dyDescent="0.25">
      <c r="O40" s="18"/>
      <c r="P40" s="19"/>
      <c r="Q40" s="19"/>
      <c r="R40" s="19"/>
      <c r="S40" s="30"/>
      <c r="T40" s="19"/>
      <c r="U40" s="20"/>
      <c r="V40" s="19"/>
      <c r="W40" s="23"/>
    </row>
    <row r="41" spans="15:26" x14ac:dyDescent="0.25">
      <c r="O41" s="16" t="s">
        <v>56</v>
      </c>
      <c r="Q41" t="s">
        <v>28</v>
      </c>
      <c r="R41">
        <v>1</v>
      </c>
      <c r="S41" s="28">
        <v>0.2</v>
      </c>
      <c r="T41" s="17" t="s">
        <v>33</v>
      </c>
      <c r="W41" s="22">
        <v>1.02</v>
      </c>
      <c r="Z41" s="3" t="s">
        <v>66</v>
      </c>
    </row>
    <row r="42" spans="15:26" x14ac:dyDescent="0.25">
      <c r="O42" s="16" t="s">
        <v>56</v>
      </c>
      <c r="Q42" t="s">
        <v>28</v>
      </c>
      <c r="R42">
        <v>-1</v>
      </c>
      <c r="S42" s="28">
        <v>0.2</v>
      </c>
      <c r="T42" s="17" t="s">
        <v>33</v>
      </c>
      <c r="U42" s="17"/>
      <c r="W42" s="22">
        <v>1.0049999999999999</v>
      </c>
    </row>
    <row r="43" spans="15:26" x14ac:dyDescent="0.25">
      <c r="O43" s="16" t="s">
        <v>56</v>
      </c>
      <c r="Q43" t="s">
        <v>28</v>
      </c>
      <c r="R43">
        <v>-1</v>
      </c>
      <c r="S43" s="28">
        <v>0.2</v>
      </c>
      <c r="T43" s="17" t="s">
        <v>34</v>
      </c>
      <c r="U43" s="17"/>
      <c r="W43" s="22">
        <v>0.99</v>
      </c>
    </row>
    <row r="44" spans="15:26" x14ac:dyDescent="0.25">
      <c r="O44" s="16" t="s">
        <v>56</v>
      </c>
      <c r="Q44" t="s">
        <v>28</v>
      </c>
      <c r="R44">
        <v>1</v>
      </c>
      <c r="S44" s="28">
        <v>0.2</v>
      </c>
      <c r="T44" s="17" t="s">
        <v>34</v>
      </c>
      <c r="U44" s="17"/>
      <c r="W44" s="22">
        <v>0.98</v>
      </c>
    </row>
    <row r="45" spans="15:26" x14ac:dyDescent="0.25">
      <c r="O45" s="16" t="s">
        <v>56</v>
      </c>
      <c r="Q45" t="s">
        <v>28</v>
      </c>
      <c r="R45">
        <v>1</v>
      </c>
      <c r="S45" s="28">
        <v>0.05</v>
      </c>
      <c r="T45" s="32" t="s">
        <v>34</v>
      </c>
      <c r="U45" s="17"/>
      <c r="W45" s="24"/>
    </row>
    <row r="46" spans="15:26" x14ac:dyDescent="0.25">
      <c r="O46" s="16" t="s">
        <v>56</v>
      </c>
      <c r="Q46" t="s">
        <v>28</v>
      </c>
      <c r="R46">
        <v>-1</v>
      </c>
      <c r="S46" s="28">
        <v>0.1</v>
      </c>
      <c r="T46" s="32" t="s">
        <v>34</v>
      </c>
      <c r="U46" s="17">
        <v>2</v>
      </c>
    </row>
    <row r="47" spans="15:26" x14ac:dyDescent="0.25">
      <c r="O47" s="16" t="s">
        <v>56</v>
      </c>
      <c r="Q47" t="s">
        <v>37</v>
      </c>
      <c r="R47">
        <v>1</v>
      </c>
      <c r="S47" s="28">
        <v>0.1</v>
      </c>
    </row>
    <row r="52" spans="15:33" x14ac:dyDescent="0.25">
      <c r="O52" t="s">
        <v>67</v>
      </c>
    </row>
    <row r="53" spans="15:33" x14ac:dyDescent="0.25">
      <c r="O53" s="16" t="s">
        <v>69</v>
      </c>
      <c r="P53">
        <v>1</v>
      </c>
      <c r="Q53" t="s">
        <v>28</v>
      </c>
      <c r="R53">
        <v>1</v>
      </c>
      <c r="S53" s="31">
        <v>0.5</v>
      </c>
      <c r="T53" t="s">
        <v>34</v>
      </c>
      <c r="V53">
        <v>90</v>
      </c>
      <c r="W53" s="22">
        <v>0.95</v>
      </c>
      <c r="Y53" s="16" t="s">
        <v>69</v>
      </c>
      <c r="Z53">
        <v>1</v>
      </c>
      <c r="AA53" t="s">
        <v>28</v>
      </c>
      <c r="AB53">
        <v>1</v>
      </c>
      <c r="AC53" s="28">
        <v>0.15</v>
      </c>
      <c r="AD53" t="s">
        <v>34</v>
      </c>
      <c r="AE53"/>
      <c r="AF53">
        <v>90</v>
      </c>
      <c r="AG53" s="22">
        <v>0.95</v>
      </c>
    </row>
    <row r="54" spans="15:33" x14ac:dyDescent="0.25">
      <c r="O54" s="16" t="s">
        <v>69</v>
      </c>
      <c r="P54">
        <v>1</v>
      </c>
      <c r="Q54" t="s">
        <v>28</v>
      </c>
      <c r="R54">
        <v>-1</v>
      </c>
      <c r="S54" s="31">
        <v>0.5</v>
      </c>
      <c r="T54" s="17" t="s">
        <v>34</v>
      </c>
      <c r="U54" s="17"/>
      <c r="V54">
        <v>90</v>
      </c>
      <c r="W54" s="22">
        <v>0.9</v>
      </c>
      <c r="Y54" s="16" t="s">
        <v>69</v>
      </c>
      <c r="Z54">
        <v>1</v>
      </c>
      <c r="AA54" t="s">
        <v>28</v>
      </c>
      <c r="AB54">
        <v>-1</v>
      </c>
      <c r="AC54" s="28">
        <v>0.15</v>
      </c>
      <c r="AD54" s="17" t="s">
        <v>34</v>
      </c>
      <c r="AE54" s="17"/>
      <c r="AF54">
        <v>90</v>
      </c>
      <c r="AG54" s="22">
        <v>0.9</v>
      </c>
    </row>
    <row r="55" spans="15:33" x14ac:dyDescent="0.25">
      <c r="O55" s="16" t="s">
        <v>70</v>
      </c>
      <c r="P55">
        <v>2</v>
      </c>
      <c r="Q55" t="s">
        <v>28</v>
      </c>
      <c r="R55">
        <v>-1</v>
      </c>
      <c r="S55" s="31">
        <v>0.5</v>
      </c>
      <c r="T55" s="17" t="s">
        <v>34</v>
      </c>
      <c r="U55" s="17"/>
      <c r="V55">
        <v>90</v>
      </c>
      <c r="W55" s="22">
        <v>0.9</v>
      </c>
      <c r="Y55" s="16" t="s">
        <v>70</v>
      </c>
      <c r="Z55">
        <v>2</v>
      </c>
      <c r="AA55" t="s">
        <v>28</v>
      </c>
      <c r="AB55">
        <v>-1</v>
      </c>
      <c r="AC55" s="28">
        <v>0.15</v>
      </c>
      <c r="AD55" s="17" t="s">
        <v>34</v>
      </c>
      <c r="AE55" s="17"/>
      <c r="AF55">
        <v>90</v>
      </c>
      <c r="AG55" s="22">
        <v>0.9</v>
      </c>
    </row>
    <row r="56" spans="15:33" x14ac:dyDescent="0.25">
      <c r="O56" s="16"/>
      <c r="S56" s="28"/>
      <c r="T56" s="17"/>
      <c r="U56" s="17"/>
      <c r="W56" s="22"/>
      <c r="Y56" s="16" t="s">
        <v>70</v>
      </c>
      <c r="Z56">
        <v>2</v>
      </c>
      <c r="AA56" t="s">
        <v>28</v>
      </c>
      <c r="AB56">
        <v>-1</v>
      </c>
      <c r="AC56" s="28">
        <v>0.15</v>
      </c>
      <c r="AD56" s="17" t="s">
        <v>34</v>
      </c>
      <c r="AF56">
        <v>90</v>
      </c>
      <c r="AG56" s="22">
        <v>0.9</v>
      </c>
    </row>
    <row r="57" spans="15:33" x14ac:dyDescent="0.25">
      <c r="O57" t="s">
        <v>68</v>
      </c>
      <c r="P57">
        <v>3</v>
      </c>
      <c r="Q57" t="s">
        <v>37</v>
      </c>
      <c r="R57">
        <v>1</v>
      </c>
      <c r="S57" s="31"/>
      <c r="Y57" s="16" t="s">
        <v>70</v>
      </c>
      <c r="Z57">
        <v>2</v>
      </c>
      <c r="AA57" t="s">
        <v>28</v>
      </c>
      <c r="AB57">
        <v>-1</v>
      </c>
      <c r="AC57" s="28">
        <v>0.15</v>
      </c>
      <c r="AD57" s="17" t="s">
        <v>34</v>
      </c>
      <c r="AF57">
        <v>90</v>
      </c>
      <c r="AG57" s="22">
        <v>0.9</v>
      </c>
    </row>
    <row r="60" spans="15:33" x14ac:dyDescent="0.25">
      <c r="O60" s="16" t="s">
        <v>70</v>
      </c>
      <c r="P60">
        <v>1</v>
      </c>
      <c r="Q60" t="s">
        <v>28</v>
      </c>
      <c r="R60">
        <v>1</v>
      </c>
      <c r="S60" s="28">
        <v>0.5</v>
      </c>
      <c r="T60" s="17" t="s">
        <v>34</v>
      </c>
      <c r="U60" s="17"/>
      <c r="V60">
        <v>90</v>
      </c>
      <c r="W60" s="22">
        <v>0.95</v>
      </c>
    </row>
    <row r="61" spans="15:33" x14ac:dyDescent="0.25">
      <c r="O61" t="s">
        <v>68</v>
      </c>
      <c r="P61">
        <v>2</v>
      </c>
      <c r="Q61" t="s">
        <v>27</v>
      </c>
      <c r="R61">
        <v>1</v>
      </c>
      <c r="S61" s="28">
        <v>0.5</v>
      </c>
    </row>
    <row r="63" spans="15:33" x14ac:dyDescent="0.25">
      <c r="AB63" t="s">
        <v>72</v>
      </c>
      <c r="AC63" t="s">
        <v>73</v>
      </c>
      <c r="AD63" t="s">
        <v>74</v>
      </c>
      <c r="AE63" s="5">
        <v>1000000</v>
      </c>
    </row>
    <row r="64" spans="15:33" x14ac:dyDescent="0.25">
      <c r="Z64">
        <v>1</v>
      </c>
      <c r="AA64" s="2" t="s">
        <v>71</v>
      </c>
      <c r="AB64" cm="1">
        <f t="array" ref="AB64">_xll.BDP(AA64&amp;" Equity",$AB$63)</f>
        <v>2.98</v>
      </c>
      <c r="AC64">
        <f>AB64*Z64*100</f>
        <v>298</v>
      </c>
      <c r="AD64">
        <f>Z64*600*100</f>
        <v>60000</v>
      </c>
      <c r="AE64" s="39">
        <f>250000/AD64</f>
        <v>4.166666666666667</v>
      </c>
    </row>
    <row r="65" spans="15:31" x14ac:dyDescent="0.25">
      <c r="O65" s="13" t="s">
        <v>4</v>
      </c>
      <c r="P65" s="14">
        <v>1</v>
      </c>
      <c r="Q65" s="14" t="s">
        <v>27</v>
      </c>
      <c r="R65" s="14">
        <v>1</v>
      </c>
      <c r="S65" s="27">
        <v>1</v>
      </c>
      <c r="T65" s="15"/>
      <c r="U65" s="14"/>
      <c r="V65" s="14"/>
      <c r="W65" s="21"/>
      <c r="Z65">
        <v>1</v>
      </c>
      <c r="AA65" s="2" t="s">
        <v>75</v>
      </c>
      <c r="AB65" cm="1">
        <f t="array" ref="AB65">_xll.BDP(AA65&amp;" Equity",$AB$63)</f>
        <v>24.75</v>
      </c>
      <c r="AC65">
        <f>AB65*Z65*100</f>
        <v>2475</v>
      </c>
      <c r="AD65">
        <f>Z65*620*100</f>
        <v>62000</v>
      </c>
      <c r="AE65" s="39">
        <f>250000/AD65</f>
        <v>4.032258064516129</v>
      </c>
    </row>
    <row r="66" spans="15:31" x14ac:dyDescent="0.25">
      <c r="O66" s="16" t="s">
        <v>4</v>
      </c>
      <c r="P66">
        <v>1</v>
      </c>
      <c r="Q66" t="s">
        <v>28</v>
      </c>
      <c r="R66">
        <v>-1</v>
      </c>
      <c r="S66" s="28">
        <v>1</v>
      </c>
      <c r="T66" s="17" t="s">
        <v>33</v>
      </c>
      <c r="U66" s="17">
        <v>0.5</v>
      </c>
      <c r="V66">
        <v>30</v>
      </c>
      <c r="W66" s="22">
        <v>1.02</v>
      </c>
      <c r="AC66">
        <f>(AC64+AC65)*4</f>
        <v>11092</v>
      </c>
    </row>
    <row r="67" spans="15:31" x14ac:dyDescent="0.25">
      <c r="O67" t="s">
        <v>68</v>
      </c>
      <c r="P67">
        <v>2</v>
      </c>
      <c r="Q67" t="s">
        <v>37</v>
      </c>
      <c r="R67">
        <v>1</v>
      </c>
      <c r="AE67" s="5">
        <f>AE63-AC66</f>
        <v>988908</v>
      </c>
    </row>
    <row r="68" spans="15:31" x14ac:dyDescent="0.25">
      <c r="AC68">
        <f>250000/AC66</f>
        <v>22.538766678687342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Blocks</vt:lpstr>
      <vt:lpstr>examples</vt:lpstr>
      <vt:lpstr>draft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Jean-Christian Daigle</dc:creator>
  <cp:lastModifiedBy>Stella Xiao</cp:lastModifiedBy>
  <dcterms:created xsi:type="dcterms:W3CDTF">2026-03-15T14:23:52Z</dcterms:created>
  <dcterms:modified xsi:type="dcterms:W3CDTF">2026-03-31T20:49:13Z</dcterms:modified>
</cp:coreProperties>
</file>