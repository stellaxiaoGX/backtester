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lobalxcanada-my.sharepoint.com/personal/sxiao_globalx_ca/Documents/Desktop/backtester/"/>
    </mc:Choice>
  </mc:AlternateContent>
  <xr:revisionPtr revIDLastSave="431" documentId="11_F25DC773A252ABDACC104806515C49965BDE58E8" xr6:coauthVersionLast="47" xr6:coauthVersionMax="47" xr10:uidLastSave="{81046CEF-F355-47F2-BD94-7934A70E5BFA}"/>
  <bookViews>
    <workbookView xWindow="8700" yWindow="1980" windowWidth="15270" windowHeight="13155" xr2:uid="{00000000-000D-0000-FFFF-FFFF00000000}"/>
  </bookViews>
  <sheets>
    <sheet name="UI" sheetId="4" r:id="rId1"/>
    <sheet name="inputs" sheetId="2" r:id="rId2"/>
    <sheet name="option i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</calcChain>
</file>

<file path=xl/sharedStrings.xml><?xml version="1.0" encoding="utf-8"?>
<sst xmlns="http://schemas.openxmlformats.org/spreadsheetml/2006/main" count="142" uniqueCount="84">
  <si>
    <t>Select Portfolio</t>
  </si>
  <si>
    <t>Select a portfolio file (csv) …</t>
  </si>
  <si>
    <t>Define Underlying Asset</t>
  </si>
  <si>
    <t>Run Backtest</t>
  </si>
  <si>
    <t xml:space="preserve">  Backtester</t>
  </si>
  <si>
    <t xml:space="preserve">    Start Date:</t>
  </si>
  <si>
    <t xml:space="preserve">       End Date:</t>
  </si>
  <si>
    <t xml:space="preserve">                        Stock/ETF:</t>
  </si>
  <si>
    <t xml:space="preserve">                        Country Code:</t>
  </si>
  <si>
    <t>Enter Bloomberg country code …</t>
  </si>
  <si>
    <t>Enter ticker for Stock or ETF …</t>
  </si>
  <si>
    <t>SEC_ID</t>
  </si>
  <si>
    <t>CUR</t>
  </si>
  <si>
    <t>DTM</t>
  </si>
  <si>
    <t>MONEYNESS</t>
  </si>
  <si>
    <t>CAD</t>
  </si>
  <si>
    <t>cc1</t>
  </si>
  <si>
    <t>cs1</t>
  </si>
  <si>
    <t>cs2</t>
  </si>
  <si>
    <t>np1</t>
  </si>
  <si>
    <t>Description</t>
  </si>
  <si>
    <t>Cash Flow</t>
  </si>
  <si>
    <t>pc1</t>
  </si>
  <si>
    <t>Name</t>
  </si>
  <si>
    <t>Covered Call</t>
  </si>
  <si>
    <t>Call Spread</t>
  </si>
  <si>
    <t>Naked Put</t>
  </si>
  <si>
    <t>Put Call Parity</t>
  </si>
  <si>
    <t>Naked Call</t>
  </si>
  <si>
    <t>Put Spread</t>
  </si>
  <si>
    <t>nc1</t>
  </si>
  <si>
    <t>ps1</t>
  </si>
  <si>
    <t>cp1</t>
  </si>
  <si>
    <t>Dependent sec_id option legs have the same: underlying asset, exp date, roll date</t>
  </si>
  <si>
    <t>Asset position</t>
  </si>
  <si>
    <t>Option position</t>
  </si>
  <si>
    <t>Option</t>
  </si>
  <si>
    <t>call</t>
  </si>
  <si>
    <t>put</t>
  </si>
  <si>
    <t>earn premium</t>
  </si>
  <si>
    <t>Sentiment</t>
  </si>
  <si>
    <t>Bull</t>
  </si>
  <si>
    <t>Cash-Secured Put</t>
  </si>
  <si>
    <t>Cash position</t>
  </si>
  <si>
    <t>100*strike*qty</t>
  </si>
  <si>
    <t>Sell Put + Reserve cash</t>
  </si>
  <si>
    <t>Sell Call + Own Underlying</t>
  </si>
  <si>
    <t>Put</t>
  </si>
  <si>
    <t>Call</t>
  </si>
  <si>
    <t>c1</t>
  </si>
  <si>
    <t>p1</t>
  </si>
  <si>
    <t>Long Call</t>
  </si>
  <si>
    <t>Long Put</t>
  </si>
  <si>
    <t>pay premium</t>
  </si>
  <si>
    <t>premium</t>
  </si>
  <si>
    <t>Short Call + No Underlying</t>
  </si>
  <si>
    <t>Short Put + No Underlying</t>
  </si>
  <si>
    <t>Bear</t>
  </si>
  <si>
    <t>ps2</t>
  </si>
  <si>
    <t>premium + 100*strike*qty</t>
  </si>
  <si>
    <t>Sell Call at higher strike</t>
  </si>
  <si>
    <t>Buy Call at lower strike</t>
  </si>
  <si>
    <t>Sell Call at lower strike</t>
  </si>
  <si>
    <t>Buy Call at higher strike</t>
  </si>
  <si>
    <t>Buy Put at lower strike</t>
  </si>
  <si>
    <t>Sell Put at higher strike</t>
  </si>
  <si>
    <t>Sell Put at lower strike</t>
  </si>
  <si>
    <t>Buy Put at higher strike</t>
  </si>
  <si>
    <t>Sell Call with Underlying</t>
  </si>
  <si>
    <t>Buy Put with Underlying</t>
  </si>
  <si>
    <t>End Date:</t>
  </si>
  <si>
    <t>Start Date:</t>
  </si>
  <si>
    <t>option</t>
  </si>
  <si>
    <t>RATIO</t>
  </si>
  <si>
    <t>TYPE</t>
  </si>
  <si>
    <t>DIRECTION</t>
  </si>
  <si>
    <t>short</t>
  </si>
  <si>
    <t>long</t>
  </si>
  <si>
    <t>Starting Cash:</t>
  </si>
  <si>
    <t>int</t>
  </si>
  <si>
    <t>date</t>
  </si>
  <si>
    <t>Ticker:</t>
  </si>
  <si>
    <t>str</t>
  </si>
  <si>
    <t>XIU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</si>
</sst>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Alignment="1">
      <alignment vertical="center"/>
    </xf>
    <xf numFmtId="14" fontId="0" fillId="3" borderId="1" xfId="0" applyNumberForma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/>
    <xf numFmtId="0" fontId="1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6F5A-3515-4A49-9632-8C06527B1D4E}">
  <dimension ref="B2:H16"/>
  <sheetViews>
    <sheetView tabSelected="1" workbookViewId="0">
      <selection activeCell="E23" sqref="E23"/>
    </sheetView>
  </sheetViews>
  <sheetFormatPr defaultRowHeight="15" x14ac:dyDescent="0.25"/>
  <cols>
    <col min="1" max="1" width="3.7109375" customWidth="1"/>
    <col min="2" max="2" width="1.7109375" customWidth="1"/>
    <col min="3" max="3" width="12.28515625" customWidth="1"/>
    <col min="4" max="4" width="14.42578125" customWidth="1"/>
    <col min="5" max="5" width="12.28515625" customWidth="1"/>
    <col min="6" max="6" width="1.7109375" customWidth="1"/>
    <col min="7" max="7" width="14.42578125" customWidth="1"/>
    <col min="8" max="8" width="1.7109375" customWidth="1"/>
  </cols>
  <sheetData>
    <row r="2" spans="2:8" x14ac:dyDescent="0.25">
      <c r="B2" s="4" t="s">
        <v>4</v>
      </c>
      <c r="C2" s="5"/>
      <c r="D2" s="5"/>
      <c r="E2" s="5"/>
      <c r="F2" s="5"/>
      <c r="G2" s="5"/>
      <c r="H2" s="6"/>
    </row>
    <row r="3" spans="2:8" ht="10.5" customHeight="1" x14ac:dyDescent="0.25">
      <c r="B3" s="7"/>
      <c r="C3" s="1"/>
      <c r="D3" s="1"/>
      <c r="E3" s="1"/>
      <c r="F3" s="1"/>
      <c r="G3" s="1"/>
      <c r="H3" s="8"/>
    </row>
    <row r="4" spans="2:8" ht="21" customHeight="1" x14ac:dyDescent="0.25">
      <c r="B4" s="7"/>
      <c r="C4" s="2" t="s">
        <v>5</v>
      </c>
      <c r="D4" s="14">
        <v>45658</v>
      </c>
      <c r="E4" s="2" t="s">
        <v>6</v>
      </c>
      <c r="F4" s="2"/>
      <c r="G4" s="14">
        <v>45777</v>
      </c>
      <c r="H4" s="8"/>
    </row>
    <row r="5" spans="2:8" x14ac:dyDescent="0.25">
      <c r="B5" s="7"/>
      <c r="C5" s="15" t="str">
        <f>"    Selected Date Range: "&amp;TEXT(D4, "YYYY-MM-DD")&amp;" to "&amp;TEXT(G4, "YYYY-MM-DD")</f>
        <v xml:space="preserve">    Selected Date Range: 2025-01-01 to 2025-04-30</v>
      </c>
      <c r="D5" s="1"/>
      <c r="E5" s="1"/>
      <c r="F5" s="1"/>
      <c r="G5" s="1"/>
      <c r="H5" s="8"/>
    </row>
    <row r="6" spans="2:8" ht="10.5" customHeight="1" x14ac:dyDescent="0.25">
      <c r="B6" s="7"/>
      <c r="C6" s="1"/>
      <c r="D6" s="1"/>
      <c r="E6" s="1"/>
      <c r="F6" s="1"/>
      <c r="G6" s="1"/>
      <c r="H6" s="8"/>
    </row>
    <row r="7" spans="2:8" ht="21" customHeight="1" x14ac:dyDescent="0.25">
      <c r="B7" s="7"/>
      <c r="C7" s="18" t="s">
        <v>1</v>
      </c>
      <c r="D7" s="18"/>
      <c r="E7" s="18"/>
      <c r="F7" s="1"/>
      <c r="G7" s="17" t="s">
        <v>0</v>
      </c>
      <c r="H7" s="8"/>
    </row>
    <row r="8" spans="2:8" ht="12" customHeight="1" x14ac:dyDescent="0.25">
      <c r="B8" s="7"/>
      <c r="C8" s="1"/>
      <c r="D8" s="1"/>
      <c r="E8" s="1"/>
      <c r="F8" s="1"/>
      <c r="G8" s="1"/>
      <c r="H8" s="8"/>
    </row>
    <row r="9" spans="2:8" ht="15.75" x14ac:dyDescent="0.25">
      <c r="B9" s="7"/>
      <c r="C9" s="16" t="s">
        <v>2</v>
      </c>
      <c r="D9" s="1"/>
      <c r="E9" s="1"/>
      <c r="F9" s="1"/>
      <c r="G9" s="1"/>
      <c r="H9" s="8"/>
    </row>
    <row r="10" spans="2:8" ht="11.25" customHeight="1" x14ac:dyDescent="0.25">
      <c r="B10" s="7"/>
      <c r="C10" s="1"/>
      <c r="D10" s="1"/>
      <c r="E10" s="1"/>
      <c r="F10" s="1"/>
      <c r="G10" s="1"/>
      <c r="H10" s="8"/>
    </row>
    <row r="11" spans="2:8" s="13" customFormat="1" ht="18.75" customHeight="1" x14ac:dyDescent="0.25">
      <c r="B11" s="11"/>
      <c r="C11" s="2" t="s">
        <v>7</v>
      </c>
      <c r="D11" s="2"/>
      <c r="E11" s="18" t="s">
        <v>10</v>
      </c>
      <c r="F11" s="18"/>
      <c r="G11" s="18"/>
      <c r="H11" s="12"/>
    </row>
    <row r="12" spans="2:8" ht="6.75" customHeight="1" x14ac:dyDescent="0.25">
      <c r="B12" s="7"/>
      <c r="C12" s="1"/>
      <c r="D12" s="1"/>
      <c r="E12" s="1"/>
      <c r="F12" s="1"/>
      <c r="G12" s="1"/>
      <c r="H12" s="8"/>
    </row>
    <row r="13" spans="2:8" s="13" customFormat="1" ht="18.75" customHeight="1" x14ac:dyDescent="0.25">
      <c r="B13" s="11"/>
      <c r="C13" s="2" t="s">
        <v>8</v>
      </c>
      <c r="D13" s="2"/>
      <c r="E13" s="18" t="s">
        <v>9</v>
      </c>
      <c r="F13" s="18"/>
      <c r="G13" s="18"/>
      <c r="H13" s="12"/>
    </row>
    <row r="14" spans="2:8" ht="12.75" customHeight="1" x14ac:dyDescent="0.25">
      <c r="B14" s="7"/>
      <c r="C14" s="1"/>
      <c r="D14" s="1"/>
      <c r="E14" s="1"/>
      <c r="F14" s="1"/>
      <c r="G14" s="1"/>
      <c r="H14" s="8"/>
    </row>
    <row r="15" spans="2:8" ht="27" customHeight="1" x14ac:dyDescent="0.25">
      <c r="B15" s="7"/>
      <c r="C15" s="1"/>
      <c r="D15" s="19" t="s">
        <v>3</v>
      </c>
      <c r="E15" s="20"/>
      <c r="F15" s="21"/>
      <c r="G15" s="1"/>
      <c r="H15" s="8"/>
    </row>
    <row r="16" spans="2:8" ht="12.75" customHeight="1" x14ac:dyDescent="0.25">
      <c r="B16" s="9"/>
      <c r="C16" s="3"/>
      <c r="D16" s="3"/>
      <c r="E16" s="3"/>
      <c r="F16" s="3"/>
      <c r="G16" s="3"/>
      <c r="H16" s="10"/>
    </row>
  </sheetData>
  <mergeCells count="4">
    <mergeCell ref="C7:E7"/>
    <mergeCell ref="E11:G11"/>
    <mergeCell ref="E13:G13"/>
    <mergeCell ref="D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F3AE-F0AF-44F0-B327-5F79BFE71CEA}">
  <dimension ref="A1:K4"/>
  <sheetViews>
    <sheetView zoomScale="130" zoomScaleNormal="130" workbookViewId="0">
      <selection sqref="A1:G1"/>
    </sheetView>
  </sheetViews>
  <sheetFormatPr defaultRowHeight="15" x14ac:dyDescent="0.25"/>
  <cols>
    <col min="1" max="1" width="10" customWidth="1"/>
    <col min="2" max="3" width="7.7109375" customWidth="1"/>
    <col min="4" max="4" width="10.7109375" customWidth="1"/>
    <col min="5" max="6" width="7.42578125" customWidth="1"/>
    <col min="7" max="7" width="12" bestFit="1" customWidth="1"/>
    <col min="8" max="8" width="2.140625" customWidth="1"/>
    <col min="9" max="9" width="13" customWidth="1"/>
    <col min="10" max="10" width="11.140625" bestFit="1" customWidth="1"/>
    <col min="11" max="11" width="8.28515625" customWidth="1"/>
    <col min="12" max="12" width="10.5703125" customWidth="1"/>
  </cols>
  <sheetData>
    <row r="1" spans="1:11" x14ac:dyDescent="0.25">
      <c r="A1" t="s">
        <v>11</v>
      </c>
      <c r="B1" t="s">
        <v>12</v>
      </c>
      <c r="C1" t="s">
        <v>74</v>
      </c>
      <c r="D1" t="s">
        <v>75</v>
      </c>
      <c r="E1" t="s">
        <v>73</v>
      </c>
      <c r="F1" t="s">
        <v>13</v>
      </c>
      <c r="G1" t="s">
        <v>14</v>
      </c>
      <c r="I1" t="s">
        <v>71</v>
      </c>
      <c r="J1" s="22">
        <v>45658</v>
      </c>
      <c r="K1" t="s">
        <v>80</v>
      </c>
    </row>
    <row r="2" spans="1:11" x14ac:dyDescent="0.25">
      <c r="A2" t="s">
        <v>72</v>
      </c>
      <c r="B2" t="s">
        <v>15</v>
      </c>
      <c r="C2" t="s">
        <v>37</v>
      </c>
      <c r="D2" t="s">
        <v>76</v>
      </c>
      <c r="E2">
        <v>1</v>
      </c>
      <c r="F2">
        <v>5</v>
      </c>
      <c r="G2">
        <v>0</v>
      </c>
      <c r="I2" t="s">
        <v>70</v>
      </c>
      <c r="J2" s="22">
        <v>45777</v>
      </c>
      <c r="K2" t="s">
        <v>80</v>
      </c>
    </row>
    <row r="3" spans="1:11" x14ac:dyDescent="0.25">
      <c r="A3" t="s">
        <v>72</v>
      </c>
      <c r="B3" t="s">
        <v>15</v>
      </c>
      <c r="C3" t="s">
        <v>38</v>
      </c>
      <c r="D3" t="s">
        <v>76</v>
      </c>
      <c r="E3">
        <v>1</v>
      </c>
      <c r="F3">
        <v>5</v>
      </c>
      <c r="G3">
        <v>0</v>
      </c>
      <c r="I3" t="s">
        <v>78</v>
      </c>
      <c r="J3">
        <v>1000000</v>
      </c>
      <c r="K3" t="s">
        <v>79</v>
      </c>
    </row>
    <row r="4" spans="1:11" x14ac:dyDescent="0.25">
      <c r="A4" t="s">
        <v>72</v>
      </c>
      <c r="B4" t="s">
        <v>15</v>
      </c>
      <c r="C4" t="s">
        <v>38</v>
      </c>
      <c r="D4" t="s">
        <v>77</v>
      </c>
      <c r="E4">
        <v>1</v>
      </c>
      <c r="F4">
        <v>5</v>
      </c>
      <c r="G4">
        <v>0</v>
      </c>
      <c r="I4" t="s">
        <v>81</v>
      </c>
      <c r="J4" t="s">
        <v>83</v>
      </c>
      <c r="K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BF5E-4378-466E-94D3-261F3B96B59A}">
  <dimension ref="A1:I22"/>
  <sheetViews>
    <sheetView workbookViewId="0">
      <selection activeCell="F16" sqref="F16"/>
    </sheetView>
  </sheetViews>
  <sheetFormatPr defaultRowHeight="15" x14ac:dyDescent="0.25"/>
  <cols>
    <col min="1" max="1" width="17.5703125" customWidth="1"/>
    <col min="2" max="3" width="9.140625" customWidth="1"/>
    <col min="4" max="4" width="15" bestFit="1" customWidth="1"/>
    <col min="5" max="5" width="13.7109375" bestFit="1" customWidth="1"/>
    <col min="6" max="6" width="24.28515625" bestFit="1" customWidth="1"/>
    <col min="7" max="7" width="28.28515625" customWidth="1"/>
    <col min="8" max="8" width="13.7109375" bestFit="1" customWidth="1"/>
    <col min="9" max="9" width="13.7109375" customWidth="1"/>
    <col min="10" max="10" width="26.5703125" bestFit="1" customWidth="1"/>
  </cols>
  <sheetData>
    <row r="1" spans="1:9" x14ac:dyDescent="0.25">
      <c r="A1" t="s">
        <v>23</v>
      </c>
      <c r="B1" t="s">
        <v>11</v>
      </c>
      <c r="C1" t="s">
        <v>36</v>
      </c>
      <c r="D1" t="s">
        <v>35</v>
      </c>
      <c r="E1" t="s">
        <v>34</v>
      </c>
      <c r="F1" t="s">
        <v>43</v>
      </c>
      <c r="G1" t="s">
        <v>20</v>
      </c>
      <c r="H1" t="s">
        <v>21</v>
      </c>
      <c r="I1" t="s">
        <v>40</v>
      </c>
    </row>
    <row r="2" spans="1:9" x14ac:dyDescent="0.25">
      <c r="A2" t="s">
        <v>24</v>
      </c>
      <c r="B2" t="s">
        <v>16</v>
      </c>
      <c r="C2" t="s">
        <v>37</v>
      </c>
      <c r="D2">
        <v>-1</v>
      </c>
      <c r="E2">
        <v>1</v>
      </c>
      <c r="F2">
        <v>0</v>
      </c>
      <c r="G2" t="s">
        <v>46</v>
      </c>
      <c r="H2" t="s">
        <v>39</v>
      </c>
    </row>
    <row r="3" spans="1:9" x14ac:dyDescent="0.25">
      <c r="A3" t="s">
        <v>42</v>
      </c>
      <c r="B3" t="s">
        <v>32</v>
      </c>
      <c r="C3" t="s">
        <v>38</v>
      </c>
      <c r="D3">
        <v>-1</v>
      </c>
      <c r="E3">
        <v>0</v>
      </c>
      <c r="F3" t="s">
        <v>44</v>
      </c>
      <c r="G3" t="s">
        <v>45</v>
      </c>
      <c r="H3" t="s">
        <v>39</v>
      </c>
    </row>
    <row r="5" spans="1:9" x14ac:dyDescent="0.25">
      <c r="A5" t="s">
        <v>28</v>
      </c>
      <c r="B5" t="s">
        <v>30</v>
      </c>
      <c r="C5" t="s">
        <v>37</v>
      </c>
      <c r="D5">
        <v>-1</v>
      </c>
      <c r="E5">
        <v>0</v>
      </c>
      <c r="F5" t="s">
        <v>44</v>
      </c>
      <c r="G5" t="s">
        <v>55</v>
      </c>
      <c r="H5" t="s">
        <v>53</v>
      </c>
    </row>
    <row r="6" spans="1:9" x14ac:dyDescent="0.25">
      <c r="A6" t="s">
        <v>26</v>
      </c>
      <c r="B6" t="s">
        <v>19</v>
      </c>
      <c r="C6" t="s">
        <v>38</v>
      </c>
      <c r="D6">
        <v>-1</v>
      </c>
      <c r="E6">
        <v>0</v>
      </c>
      <c r="F6" t="s">
        <v>44</v>
      </c>
      <c r="G6" t="s">
        <v>56</v>
      </c>
      <c r="H6" t="s">
        <v>53</v>
      </c>
    </row>
    <row r="7" spans="1:9" x14ac:dyDescent="0.25">
      <c r="A7" t="s">
        <v>48</v>
      </c>
      <c r="B7" t="s">
        <v>49</v>
      </c>
      <c r="C7" t="s">
        <v>37</v>
      </c>
      <c r="D7">
        <v>1</v>
      </c>
      <c r="E7">
        <v>0</v>
      </c>
      <c r="F7" t="s">
        <v>59</v>
      </c>
      <c r="G7" t="s">
        <v>51</v>
      </c>
      <c r="H7" t="s">
        <v>53</v>
      </c>
    </row>
    <row r="8" spans="1:9" x14ac:dyDescent="0.25">
      <c r="A8" t="s">
        <v>47</v>
      </c>
      <c r="B8" t="s">
        <v>50</v>
      </c>
      <c r="C8" t="s">
        <v>38</v>
      </c>
      <c r="D8">
        <v>1</v>
      </c>
      <c r="E8">
        <v>1</v>
      </c>
      <c r="F8" t="s">
        <v>54</v>
      </c>
      <c r="G8" t="s">
        <v>52</v>
      </c>
      <c r="H8" t="s">
        <v>53</v>
      </c>
    </row>
    <row r="10" spans="1:9" x14ac:dyDescent="0.25">
      <c r="A10" t="s">
        <v>25</v>
      </c>
      <c r="B10" t="s">
        <v>17</v>
      </c>
      <c r="C10" t="s">
        <v>37</v>
      </c>
      <c r="D10">
        <v>-1</v>
      </c>
      <c r="E10">
        <v>0</v>
      </c>
      <c r="G10" t="s">
        <v>60</v>
      </c>
      <c r="H10" t="s">
        <v>39</v>
      </c>
      <c r="I10" t="s">
        <v>41</v>
      </c>
    </row>
    <row r="11" spans="1:9" x14ac:dyDescent="0.25">
      <c r="A11" t="s">
        <v>25</v>
      </c>
      <c r="B11" t="s">
        <v>17</v>
      </c>
      <c r="C11" t="s">
        <v>37</v>
      </c>
      <c r="D11">
        <v>1</v>
      </c>
      <c r="E11">
        <v>0</v>
      </c>
      <c r="G11" t="s">
        <v>61</v>
      </c>
      <c r="H11" t="s">
        <v>53</v>
      </c>
      <c r="I11" t="s">
        <v>41</v>
      </c>
    </row>
    <row r="12" spans="1:9" x14ac:dyDescent="0.25">
      <c r="A12" t="s">
        <v>25</v>
      </c>
      <c r="B12" t="s">
        <v>18</v>
      </c>
      <c r="C12" t="s">
        <v>37</v>
      </c>
      <c r="D12">
        <v>-1</v>
      </c>
      <c r="E12">
        <v>0</v>
      </c>
      <c r="G12" t="s">
        <v>62</v>
      </c>
      <c r="H12" t="s">
        <v>39</v>
      </c>
      <c r="I12" t="s">
        <v>57</v>
      </c>
    </row>
    <row r="13" spans="1:9" x14ac:dyDescent="0.25">
      <c r="A13" t="s">
        <v>25</v>
      </c>
      <c r="B13" t="s">
        <v>18</v>
      </c>
      <c r="C13" t="s">
        <v>37</v>
      </c>
      <c r="D13">
        <v>1</v>
      </c>
      <c r="E13">
        <v>0</v>
      </c>
      <c r="G13" t="s">
        <v>63</v>
      </c>
      <c r="H13" t="s">
        <v>53</v>
      </c>
      <c r="I13" t="s">
        <v>57</v>
      </c>
    </row>
    <row r="14" spans="1:9" x14ac:dyDescent="0.25">
      <c r="A14" t="s">
        <v>29</v>
      </c>
      <c r="B14" t="s">
        <v>31</v>
      </c>
      <c r="C14" t="s">
        <v>38</v>
      </c>
      <c r="D14">
        <v>-1</v>
      </c>
      <c r="E14">
        <v>0</v>
      </c>
      <c r="G14" t="s">
        <v>65</v>
      </c>
      <c r="H14" t="s">
        <v>39</v>
      </c>
      <c r="I14" t="s">
        <v>41</v>
      </c>
    </row>
    <row r="15" spans="1:9" x14ac:dyDescent="0.25">
      <c r="A15" t="s">
        <v>29</v>
      </c>
      <c r="B15" t="s">
        <v>31</v>
      </c>
      <c r="C15" t="s">
        <v>38</v>
      </c>
      <c r="D15">
        <v>1</v>
      </c>
      <c r="E15">
        <v>0</v>
      </c>
      <c r="G15" t="s">
        <v>64</v>
      </c>
      <c r="H15" t="s">
        <v>53</v>
      </c>
      <c r="I15" t="s">
        <v>41</v>
      </c>
    </row>
    <row r="16" spans="1:9" x14ac:dyDescent="0.25">
      <c r="A16" t="s">
        <v>29</v>
      </c>
      <c r="B16" t="s">
        <v>58</v>
      </c>
      <c r="C16" t="s">
        <v>38</v>
      </c>
      <c r="D16">
        <v>-1</v>
      </c>
      <c r="E16">
        <v>0</v>
      </c>
      <c r="G16" t="s">
        <v>66</v>
      </c>
      <c r="H16" t="s">
        <v>39</v>
      </c>
      <c r="I16" t="s">
        <v>57</v>
      </c>
    </row>
    <row r="17" spans="1:9" x14ac:dyDescent="0.25">
      <c r="A17" t="s">
        <v>29</v>
      </c>
      <c r="B17" t="s">
        <v>58</v>
      </c>
      <c r="C17" t="s">
        <v>38</v>
      </c>
      <c r="D17">
        <v>1</v>
      </c>
      <c r="E17">
        <v>0</v>
      </c>
      <c r="G17" t="s">
        <v>67</v>
      </c>
      <c r="H17" t="s">
        <v>53</v>
      </c>
      <c r="I17" t="s">
        <v>57</v>
      </c>
    </row>
    <row r="19" spans="1:9" x14ac:dyDescent="0.25">
      <c r="A19" t="s">
        <v>27</v>
      </c>
      <c r="B19" t="s">
        <v>22</v>
      </c>
      <c r="C19" t="s">
        <v>37</v>
      </c>
      <c r="D19">
        <v>-1</v>
      </c>
      <c r="E19">
        <v>1</v>
      </c>
      <c r="G19" t="s">
        <v>68</v>
      </c>
      <c r="H19" t="s">
        <v>39</v>
      </c>
    </row>
    <row r="20" spans="1:9" x14ac:dyDescent="0.25">
      <c r="A20" t="s">
        <v>27</v>
      </c>
      <c r="B20" t="s">
        <v>22</v>
      </c>
      <c r="C20" t="s">
        <v>38</v>
      </c>
      <c r="D20">
        <v>1</v>
      </c>
      <c r="E20">
        <v>1</v>
      </c>
      <c r="G20" t="s">
        <v>69</v>
      </c>
      <c r="H20" t="s">
        <v>53</v>
      </c>
    </row>
    <row r="22" spans="1:9" x14ac:dyDescent="0.25">
      <c r="A2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</vt:lpstr>
      <vt:lpstr>inputs</vt:lpstr>
      <vt:lpstr>option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Xiao</dc:creator>
  <cp:lastModifiedBy>Stella Xiao</cp:lastModifiedBy>
  <dcterms:created xsi:type="dcterms:W3CDTF">2015-06-05T18:17:20Z</dcterms:created>
  <dcterms:modified xsi:type="dcterms:W3CDTF">2026-03-19T19:24:16Z</dcterms:modified>
</cp:coreProperties>
</file>